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סילוקין" sheetId="1" state="visible" r:id="rId1"/>
    <sheet xmlns:r="http://schemas.openxmlformats.org/officeDocument/2006/relationships" name="הוראות" sheetId="2" state="visible" r:id="rId2"/>
  </sheets>
  <definedNames>
    <definedName name="_xlnm.Print_Titles" localSheetId="0">'לוח סילוקין'!$19:$19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color rgb="0003071E"/>
      <sz val="14"/>
    </font>
    <font>
      <name val="Arial"/>
      <color rgb="004B5165"/>
      <sz val="10"/>
    </font>
    <font>
      <name val="Arial"/>
      <b val="1"/>
      <color rgb="0003071E"/>
      <sz val="11"/>
    </font>
    <font>
      <name val="Arial"/>
      <color rgb="001C2233"/>
      <sz val="11"/>
    </font>
    <font>
      <name val="Arial"/>
      <b val="1"/>
      <color rgb="00FFFFFF"/>
      <sz val="11"/>
    </font>
    <font>
      <name val="Arial"/>
      <color rgb="00333A4D"/>
      <sz val="11"/>
    </font>
    <font>
      <name val="Arial"/>
      <b val="1"/>
      <color rgb="0003071E"/>
      <sz val="13"/>
    </font>
  </fonts>
  <fills count="5">
    <fill>
      <patternFill/>
    </fill>
    <fill>
      <patternFill patternType="gray125"/>
    </fill>
    <fill>
      <patternFill patternType="solid">
        <fgColor rgb="00A7FFEB"/>
      </patternFill>
    </fill>
    <fill>
      <patternFill patternType="solid">
        <fgColor rgb="00F7F8FA"/>
      </patternFill>
    </fill>
    <fill>
      <patternFill patternType="solid">
        <fgColor rgb="0003071E"/>
      </patternFill>
    </fill>
  </fills>
  <borders count="2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3" fillId="2" borderId="1" pivotButton="0" quotePrefix="0" xfId="0"/>
    <xf numFmtId="10" fontId="3" fillId="2" borderId="1" pivotButton="0" quotePrefix="0" xfId="0"/>
    <xf numFmtId="1" fontId="3" fillId="2" borderId="1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9"/>
  <sheetViews>
    <sheetView rightToLeft="1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לוח סילוקין בשפיצר — סדנה 3.12 (פתור)</t>
        </is>
      </c>
    </row>
    <row r="2">
      <c r="A2" s="2" t="inlineStr">
        <is>
          <t>תרגיל נפרד, לא התיק של נועם ושירה. הלוואות בדויות; המספרים להמחשה, לא נתוני שוק ולא הצעה של בנק.</t>
        </is>
      </c>
    </row>
    <row r="4">
      <c r="A4" s="3" t="inlineStr">
        <is>
          <t>קלט — שנו כאן</t>
        </is>
      </c>
    </row>
    <row r="5">
      <c r="A5" s="4" t="inlineStr">
        <is>
          <t>סכום ההלוואה (₪)</t>
        </is>
      </c>
      <c r="B5" s="5" t="n">
        <v>12000</v>
      </c>
    </row>
    <row r="6">
      <c r="A6" s="4" t="inlineStr">
        <is>
          <t>אחוז הריבית לשנה (בחוזה)</t>
        </is>
      </c>
      <c r="B6" s="6" t="n">
        <v>0.06</v>
      </c>
      <c r="C6" s="2" t="inlineStr">
        <is>
          <t>עם סימן אחוז: 6%</t>
        </is>
      </c>
    </row>
    <row r="7">
      <c r="A7" s="4" t="inlineStr">
        <is>
          <t>מספר החודשים</t>
        </is>
      </c>
      <c r="B7" s="7" t="n">
        <v>12</v>
      </c>
      <c r="C7" s="2" t="inlineStr">
        <is>
          <t>עד 360</t>
        </is>
      </c>
    </row>
    <row r="9">
      <c r="A9" s="3" t="inlineStr">
        <is>
          <t>חישוב</t>
        </is>
      </c>
    </row>
    <row r="10">
      <c r="A10" s="4" t="inlineStr">
        <is>
          <t>הריבית החודשית</t>
        </is>
      </c>
      <c r="B10" s="8">
        <f>B6/12</f>
        <v/>
      </c>
      <c r="C10" s="2" t="inlineStr">
        <is>
          <t>הריבית לשנה חלקי 12</t>
        </is>
      </c>
    </row>
    <row r="11">
      <c r="A11" s="4" t="inlineStr">
        <is>
          <t>ההחזר החודשי, מעוגל לאגורה</t>
        </is>
      </c>
      <c r="B11" s="9">
        <f>ROUND(-PMT(B10,B7,B5),2)</f>
        <v/>
      </c>
      <c r="C11" s="2" t="inlineStr">
        <is>
          <t>מעוגל לאגורה</t>
        </is>
      </c>
    </row>
    <row r="12">
      <c r="A12" s="3" t="inlineStr">
        <is>
          <t>סיכום ובדיקה — מתמלא לבד</t>
        </is>
      </c>
    </row>
    <row r="13">
      <c r="A13" s="4" t="inlineStr">
        <is>
          <t>ההחזר בחודש האחרון</t>
        </is>
      </c>
      <c r="B13" s="9">
        <f>IF(COUNT(C20:C379)=0,"",INDEX(C20:C379,B7))</f>
        <v/>
      </c>
    </row>
    <row r="14">
      <c r="A14" s="4" t="inlineStr">
        <is>
          <t>סך התשלומים</t>
        </is>
      </c>
      <c r="B14" s="9">
        <f>SUM(C20:C379)</f>
        <v/>
      </c>
    </row>
    <row r="15">
      <c r="A15" s="4" t="inlineStr">
        <is>
          <t>סך הריבית</t>
        </is>
      </c>
      <c r="B15" s="9">
        <f>SUM(D20:D379)</f>
        <v/>
      </c>
    </row>
    <row r="16">
      <c r="A16" s="4" t="inlineStr">
        <is>
          <t>סך הקרן שהוחזרה</t>
        </is>
      </c>
      <c r="B16" s="9">
        <f>SUM(E20:E379)</f>
        <v/>
      </c>
    </row>
    <row r="17" ht="30" customHeight="1">
      <c r="A17" s="4" t="inlineStr">
        <is>
          <t>בדיקה</t>
        </is>
      </c>
      <c r="B17" s="10">
        <f>IF(COUNT(F20:F379)=0,"עוד לא מילאתם את הלוח",IF(AND(ABS(B16-B5)&lt;0.005,ABS(INDEX(F20:F379,B7))&lt;0.005),"✓ הלוח סוגר: הקרן שהוחזרה שווה להלוואה, והיתרה בסוף היא 0","✗ הלוח לא סוגר. בדקו את הנוסחאות, ושהעתקתם בדיוק עד החודש האחרון"))</f>
        <v/>
      </c>
    </row>
    <row r="19" ht="30" customHeight="1">
      <c r="A19" s="11" t="inlineStr">
        <is>
          <t>חודש</t>
        </is>
      </c>
      <c r="B19" s="11" t="inlineStr">
        <is>
          <t>יתרה בתחילת החודש</t>
        </is>
      </c>
      <c r="C19" s="11" t="inlineStr">
        <is>
          <t>תשלום</t>
        </is>
      </c>
      <c r="D19" s="11" t="inlineStr">
        <is>
          <t>ריבית</t>
        </is>
      </c>
      <c r="E19" s="11" t="inlineStr">
        <is>
          <t>קרן</t>
        </is>
      </c>
      <c r="F19" s="11" t="inlineStr">
        <is>
          <t>יתרה בסוף החודש</t>
        </is>
      </c>
    </row>
    <row r="20">
      <c r="A20" s="12" t="n">
        <v>1</v>
      </c>
      <c r="B20" s="9">
        <f>B5</f>
        <v/>
      </c>
      <c r="C20" s="9">
        <f>IF(A20&gt;$B$7,"",IF(A20=$B$7,B20+D20,$B$11))</f>
        <v/>
      </c>
      <c r="D20" s="9">
        <f>IF(A20&gt;$B$7,"",ROUND(B20*$B$10,2))</f>
        <v/>
      </c>
      <c r="E20" s="9">
        <f>IF(A20&gt;$B$7,"",C20-D20)</f>
        <v/>
      </c>
      <c r="F20" s="9">
        <f>IF(A20&gt;$B$7,"",B20-E20)</f>
        <v/>
      </c>
    </row>
    <row r="21">
      <c r="A21" s="12" t="n">
        <v>2</v>
      </c>
      <c r="B21" s="9">
        <f>IF(A21&gt;$B$7,"",F20)</f>
        <v/>
      </c>
      <c r="C21" s="9">
        <f>IF(A21&gt;$B$7,"",IF(A21=$B$7,B21+D21,$B$11))</f>
        <v/>
      </c>
      <c r="D21" s="9">
        <f>IF(A21&gt;$B$7,"",ROUND(B21*$B$10,2))</f>
        <v/>
      </c>
      <c r="E21" s="9">
        <f>IF(A21&gt;$B$7,"",C21-D21)</f>
        <v/>
      </c>
      <c r="F21" s="9">
        <f>IF(A21&gt;$B$7,"",B21-E21)</f>
        <v/>
      </c>
    </row>
    <row r="22">
      <c r="A22" s="12" t="n">
        <v>3</v>
      </c>
      <c r="B22" s="9">
        <f>IF(A22&gt;$B$7,"",F21)</f>
        <v/>
      </c>
      <c r="C22" s="9">
        <f>IF(A22&gt;$B$7,"",IF(A22=$B$7,B22+D22,$B$11))</f>
        <v/>
      </c>
      <c r="D22" s="9">
        <f>IF(A22&gt;$B$7,"",ROUND(B22*$B$10,2))</f>
        <v/>
      </c>
      <c r="E22" s="9">
        <f>IF(A22&gt;$B$7,"",C22-D22)</f>
        <v/>
      </c>
      <c r="F22" s="9">
        <f>IF(A22&gt;$B$7,"",B22-E22)</f>
        <v/>
      </c>
    </row>
    <row r="23">
      <c r="A23" s="12" t="n">
        <v>4</v>
      </c>
      <c r="B23" s="9">
        <f>IF(A23&gt;$B$7,"",F22)</f>
        <v/>
      </c>
      <c r="C23" s="9">
        <f>IF(A23&gt;$B$7,"",IF(A23=$B$7,B23+D23,$B$11))</f>
        <v/>
      </c>
      <c r="D23" s="9">
        <f>IF(A23&gt;$B$7,"",ROUND(B23*$B$10,2))</f>
        <v/>
      </c>
      <c r="E23" s="9">
        <f>IF(A23&gt;$B$7,"",C23-D23)</f>
        <v/>
      </c>
      <c r="F23" s="9">
        <f>IF(A23&gt;$B$7,"",B23-E23)</f>
        <v/>
      </c>
    </row>
    <row r="24">
      <c r="A24" s="12" t="n">
        <v>5</v>
      </c>
      <c r="B24" s="9">
        <f>IF(A24&gt;$B$7,"",F23)</f>
        <v/>
      </c>
      <c r="C24" s="9">
        <f>IF(A24&gt;$B$7,"",IF(A24=$B$7,B24+D24,$B$11))</f>
        <v/>
      </c>
      <c r="D24" s="9">
        <f>IF(A24&gt;$B$7,"",ROUND(B24*$B$10,2))</f>
        <v/>
      </c>
      <c r="E24" s="9">
        <f>IF(A24&gt;$B$7,"",C24-D24)</f>
        <v/>
      </c>
      <c r="F24" s="9">
        <f>IF(A24&gt;$B$7,"",B24-E24)</f>
        <v/>
      </c>
    </row>
    <row r="25">
      <c r="A25" s="12" t="n">
        <v>6</v>
      </c>
      <c r="B25" s="9">
        <f>IF(A25&gt;$B$7,"",F24)</f>
        <v/>
      </c>
      <c r="C25" s="9">
        <f>IF(A25&gt;$B$7,"",IF(A25=$B$7,B25+D25,$B$11))</f>
        <v/>
      </c>
      <c r="D25" s="9">
        <f>IF(A25&gt;$B$7,"",ROUND(B25*$B$10,2))</f>
        <v/>
      </c>
      <c r="E25" s="9">
        <f>IF(A25&gt;$B$7,"",C25-D25)</f>
        <v/>
      </c>
      <c r="F25" s="9">
        <f>IF(A25&gt;$B$7,"",B25-E25)</f>
        <v/>
      </c>
    </row>
    <row r="26">
      <c r="A26" s="12" t="n">
        <v>7</v>
      </c>
      <c r="B26" s="9">
        <f>IF(A26&gt;$B$7,"",F25)</f>
        <v/>
      </c>
      <c r="C26" s="9">
        <f>IF(A26&gt;$B$7,"",IF(A26=$B$7,B26+D26,$B$11))</f>
        <v/>
      </c>
      <c r="D26" s="9">
        <f>IF(A26&gt;$B$7,"",ROUND(B26*$B$10,2))</f>
        <v/>
      </c>
      <c r="E26" s="9">
        <f>IF(A26&gt;$B$7,"",C26-D26)</f>
        <v/>
      </c>
      <c r="F26" s="9">
        <f>IF(A26&gt;$B$7,"",B26-E26)</f>
        <v/>
      </c>
    </row>
    <row r="27">
      <c r="A27" s="12" t="n">
        <v>8</v>
      </c>
      <c r="B27" s="9">
        <f>IF(A27&gt;$B$7,"",F26)</f>
        <v/>
      </c>
      <c r="C27" s="9">
        <f>IF(A27&gt;$B$7,"",IF(A27=$B$7,B27+D27,$B$11))</f>
        <v/>
      </c>
      <c r="D27" s="9">
        <f>IF(A27&gt;$B$7,"",ROUND(B27*$B$10,2))</f>
        <v/>
      </c>
      <c r="E27" s="9">
        <f>IF(A27&gt;$B$7,"",C27-D27)</f>
        <v/>
      </c>
      <c r="F27" s="9">
        <f>IF(A27&gt;$B$7,"",B27-E27)</f>
        <v/>
      </c>
    </row>
    <row r="28">
      <c r="A28" s="12" t="n">
        <v>9</v>
      </c>
      <c r="B28" s="9">
        <f>IF(A28&gt;$B$7,"",F27)</f>
        <v/>
      </c>
      <c r="C28" s="9">
        <f>IF(A28&gt;$B$7,"",IF(A28=$B$7,B28+D28,$B$11))</f>
        <v/>
      </c>
      <c r="D28" s="9">
        <f>IF(A28&gt;$B$7,"",ROUND(B28*$B$10,2))</f>
        <v/>
      </c>
      <c r="E28" s="9">
        <f>IF(A28&gt;$B$7,"",C28-D28)</f>
        <v/>
      </c>
      <c r="F28" s="9">
        <f>IF(A28&gt;$B$7,"",B28-E28)</f>
        <v/>
      </c>
    </row>
    <row r="29">
      <c r="A29" s="12" t="n">
        <v>10</v>
      </c>
      <c r="B29" s="9">
        <f>IF(A29&gt;$B$7,"",F28)</f>
        <v/>
      </c>
      <c r="C29" s="9">
        <f>IF(A29&gt;$B$7,"",IF(A29=$B$7,B29+D29,$B$11))</f>
        <v/>
      </c>
      <c r="D29" s="9">
        <f>IF(A29&gt;$B$7,"",ROUND(B29*$B$10,2))</f>
        <v/>
      </c>
      <c r="E29" s="9">
        <f>IF(A29&gt;$B$7,"",C29-D29)</f>
        <v/>
      </c>
      <c r="F29" s="9">
        <f>IF(A29&gt;$B$7,"",B29-E29)</f>
        <v/>
      </c>
    </row>
    <row r="30">
      <c r="A30" s="12" t="n">
        <v>11</v>
      </c>
      <c r="B30" s="9">
        <f>IF(A30&gt;$B$7,"",F29)</f>
        <v/>
      </c>
      <c r="C30" s="9">
        <f>IF(A30&gt;$B$7,"",IF(A30=$B$7,B30+D30,$B$11))</f>
        <v/>
      </c>
      <c r="D30" s="9">
        <f>IF(A30&gt;$B$7,"",ROUND(B30*$B$10,2))</f>
        <v/>
      </c>
      <c r="E30" s="9">
        <f>IF(A30&gt;$B$7,"",C30-D30)</f>
        <v/>
      </c>
      <c r="F30" s="9">
        <f>IF(A30&gt;$B$7,"",B30-E30)</f>
        <v/>
      </c>
    </row>
    <row r="31">
      <c r="A31" s="12" t="n">
        <v>12</v>
      </c>
      <c r="B31" s="9">
        <f>IF(A31&gt;$B$7,"",F30)</f>
        <v/>
      </c>
      <c r="C31" s="9">
        <f>IF(A31&gt;$B$7,"",IF(A31=$B$7,B31+D31,$B$11))</f>
        <v/>
      </c>
      <c r="D31" s="9">
        <f>IF(A31&gt;$B$7,"",ROUND(B31*$B$10,2))</f>
        <v/>
      </c>
      <c r="E31" s="9">
        <f>IF(A31&gt;$B$7,"",C31-D31)</f>
        <v/>
      </c>
      <c r="F31" s="9">
        <f>IF(A31&gt;$B$7,"",B31-E31)</f>
        <v/>
      </c>
    </row>
    <row r="32">
      <c r="A32" s="12" t="n">
        <v>13</v>
      </c>
      <c r="B32" s="9">
        <f>IF(A32&gt;$B$7,"",F31)</f>
        <v/>
      </c>
      <c r="C32" s="9">
        <f>IF(A32&gt;$B$7,"",IF(A32=$B$7,B32+D32,$B$11))</f>
        <v/>
      </c>
      <c r="D32" s="9">
        <f>IF(A32&gt;$B$7,"",ROUND(B32*$B$10,2))</f>
        <v/>
      </c>
      <c r="E32" s="9">
        <f>IF(A32&gt;$B$7,"",C32-D32)</f>
        <v/>
      </c>
      <c r="F32" s="9">
        <f>IF(A32&gt;$B$7,"",B32-E32)</f>
        <v/>
      </c>
    </row>
    <row r="33">
      <c r="A33" s="12" t="n">
        <v>14</v>
      </c>
      <c r="B33" s="9">
        <f>IF(A33&gt;$B$7,"",F32)</f>
        <v/>
      </c>
      <c r="C33" s="9">
        <f>IF(A33&gt;$B$7,"",IF(A33=$B$7,B33+D33,$B$11))</f>
        <v/>
      </c>
      <c r="D33" s="9">
        <f>IF(A33&gt;$B$7,"",ROUND(B33*$B$10,2))</f>
        <v/>
      </c>
      <c r="E33" s="9">
        <f>IF(A33&gt;$B$7,"",C33-D33)</f>
        <v/>
      </c>
      <c r="F33" s="9">
        <f>IF(A33&gt;$B$7,"",B33-E33)</f>
        <v/>
      </c>
    </row>
    <row r="34">
      <c r="A34" s="12" t="n">
        <v>15</v>
      </c>
      <c r="B34" s="9">
        <f>IF(A34&gt;$B$7,"",F33)</f>
        <v/>
      </c>
      <c r="C34" s="9">
        <f>IF(A34&gt;$B$7,"",IF(A34=$B$7,B34+D34,$B$11))</f>
        <v/>
      </c>
      <c r="D34" s="9">
        <f>IF(A34&gt;$B$7,"",ROUND(B34*$B$10,2))</f>
        <v/>
      </c>
      <c r="E34" s="9">
        <f>IF(A34&gt;$B$7,"",C34-D34)</f>
        <v/>
      </c>
      <c r="F34" s="9">
        <f>IF(A34&gt;$B$7,"",B34-E34)</f>
        <v/>
      </c>
    </row>
    <row r="35">
      <c r="A35" s="12" t="n">
        <v>16</v>
      </c>
      <c r="B35" s="9">
        <f>IF(A35&gt;$B$7,"",F34)</f>
        <v/>
      </c>
      <c r="C35" s="9">
        <f>IF(A35&gt;$B$7,"",IF(A35=$B$7,B35+D35,$B$11))</f>
        <v/>
      </c>
      <c r="D35" s="9">
        <f>IF(A35&gt;$B$7,"",ROUND(B35*$B$10,2))</f>
        <v/>
      </c>
      <c r="E35" s="9">
        <f>IF(A35&gt;$B$7,"",C35-D35)</f>
        <v/>
      </c>
      <c r="F35" s="9">
        <f>IF(A35&gt;$B$7,"",B35-E35)</f>
        <v/>
      </c>
    </row>
    <row r="36">
      <c r="A36" s="12" t="n">
        <v>17</v>
      </c>
      <c r="B36" s="9">
        <f>IF(A36&gt;$B$7,"",F35)</f>
        <v/>
      </c>
      <c r="C36" s="9">
        <f>IF(A36&gt;$B$7,"",IF(A36=$B$7,B36+D36,$B$11))</f>
        <v/>
      </c>
      <c r="D36" s="9">
        <f>IF(A36&gt;$B$7,"",ROUND(B36*$B$10,2))</f>
        <v/>
      </c>
      <c r="E36" s="9">
        <f>IF(A36&gt;$B$7,"",C36-D36)</f>
        <v/>
      </c>
      <c r="F36" s="9">
        <f>IF(A36&gt;$B$7,"",B36-E36)</f>
        <v/>
      </c>
    </row>
    <row r="37">
      <c r="A37" s="12" t="n">
        <v>18</v>
      </c>
      <c r="B37" s="9">
        <f>IF(A37&gt;$B$7,"",F36)</f>
        <v/>
      </c>
      <c r="C37" s="9">
        <f>IF(A37&gt;$B$7,"",IF(A37=$B$7,B37+D37,$B$11))</f>
        <v/>
      </c>
      <c r="D37" s="9">
        <f>IF(A37&gt;$B$7,"",ROUND(B37*$B$10,2))</f>
        <v/>
      </c>
      <c r="E37" s="9">
        <f>IF(A37&gt;$B$7,"",C37-D37)</f>
        <v/>
      </c>
      <c r="F37" s="9">
        <f>IF(A37&gt;$B$7,"",B37-E37)</f>
        <v/>
      </c>
    </row>
    <row r="38">
      <c r="A38" s="12" t="n">
        <v>19</v>
      </c>
      <c r="B38" s="9">
        <f>IF(A38&gt;$B$7,"",F37)</f>
        <v/>
      </c>
      <c r="C38" s="9">
        <f>IF(A38&gt;$B$7,"",IF(A38=$B$7,B38+D38,$B$11))</f>
        <v/>
      </c>
      <c r="D38" s="9">
        <f>IF(A38&gt;$B$7,"",ROUND(B38*$B$10,2))</f>
        <v/>
      </c>
      <c r="E38" s="9">
        <f>IF(A38&gt;$B$7,"",C38-D38)</f>
        <v/>
      </c>
      <c r="F38" s="9">
        <f>IF(A38&gt;$B$7,"",B38-E38)</f>
        <v/>
      </c>
    </row>
    <row r="39">
      <c r="A39" s="12" t="n">
        <v>20</v>
      </c>
      <c r="B39" s="9">
        <f>IF(A39&gt;$B$7,"",F38)</f>
        <v/>
      </c>
      <c r="C39" s="9">
        <f>IF(A39&gt;$B$7,"",IF(A39=$B$7,B39+D39,$B$11))</f>
        <v/>
      </c>
      <c r="D39" s="9">
        <f>IF(A39&gt;$B$7,"",ROUND(B39*$B$10,2))</f>
        <v/>
      </c>
      <c r="E39" s="9">
        <f>IF(A39&gt;$B$7,"",C39-D39)</f>
        <v/>
      </c>
      <c r="F39" s="9">
        <f>IF(A39&gt;$B$7,"",B39-E39)</f>
        <v/>
      </c>
    </row>
    <row r="40">
      <c r="A40" s="12" t="n">
        <v>21</v>
      </c>
      <c r="B40" s="9">
        <f>IF(A40&gt;$B$7,"",F39)</f>
        <v/>
      </c>
      <c r="C40" s="9">
        <f>IF(A40&gt;$B$7,"",IF(A40=$B$7,B40+D40,$B$11))</f>
        <v/>
      </c>
      <c r="D40" s="9">
        <f>IF(A40&gt;$B$7,"",ROUND(B40*$B$10,2))</f>
        <v/>
      </c>
      <c r="E40" s="9">
        <f>IF(A40&gt;$B$7,"",C40-D40)</f>
        <v/>
      </c>
      <c r="F40" s="9">
        <f>IF(A40&gt;$B$7,"",B40-E40)</f>
        <v/>
      </c>
    </row>
    <row r="41">
      <c r="A41" s="12" t="n">
        <v>22</v>
      </c>
      <c r="B41" s="9">
        <f>IF(A41&gt;$B$7,"",F40)</f>
        <v/>
      </c>
      <c r="C41" s="9">
        <f>IF(A41&gt;$B$7,"",IF(A41=$B$7,B41+D41,$B$11))</f>
        <v/>
      </c>
      <c r="D41" s="9">
        <f>IF(A41&gt;$B$7,"",ROUND(B41*$B$10,2))</f>
        <v/>
      </c>
      <c r="E41" s="9">
        <f>IF(A41&gt;$B$7,"",C41-D41)</f>
        <v/>
      </c>
      <c r="F41" s="9">
        <f>IF(A41&gt;$B$7,"",B41-E41)</f>
        <v/>
      </c>
    </row>
    <row r="42">
      <c r="A42" s="12" t="n">
        <v>23</v>
      </c>
      <c r="B42" s="9">
        <f>IF(A42&gt;$B$7,"",F41)</f>
        <v/>
      </c>
      <c r="C42" s="9">
        <f>IF(A42&gt;$B$7,"",IF(A42=$B$7,B42+D42,$B$11))</f>
        <v/>
      </c>
      <c r="D42" s="9">
        <f>IF(A42&gt;$B$7,"",ROUND(B42*$B$10,2))</f>
        <v/>
      </c>
      <c r="E42" s="9">
        <f>IF(A42&gt;$B$7,"",C42-D42)</f>
        <v/>
      </c>
      <c r="F42" s="9">
        <f>IF(A42&gt;$B$7,"",B42-E42)</f>
        <v/>
      </c>
    </row>
    <row r="43">
      <c r="A43" s="12" t="n">
        <v>24</v>
      </c>
      <c r="B43" s="9">
        <f>IF(A43&gt;$B$7,"",F42)</f>
        <v/>
      </c>
      <c r="C43" s="9">
        <f>IF(A43&gt;$B$7,"",IF(A43=$B$7,B43+D43,$B$11))</f>
        <v/>
      </c>
      <c r="D43" s="9">
        <f>IF(A43&gt;$B$7,"",ROUND(B43*$B$10,2))</f>
        <v/>
      </c>
      <c r="E43" s="9">
        <f>IF(A43&gt;$B$7,"",C43-D43)</f>
        <v/>
      </c>
      <c r="F43" s="9">
        <f>IF(A43&gt;$B$7,"",B43-E43)</f>
        <v/>
      </c>
    </row>
    <row r="44">
      <c r="A44" s="12" t="n">
        <v>25</v>
      </c>
      <c r="B44" s="9">
        <f>IF(A44&gt;$B$7,"",F43)</f>
        <v/>
      </c>
      <c r="C44" s="9">
        <f>IF(A44&gt;$B$7,"",IF(A44=$B$7,B44+D44,$B$11))</f>
        <v/>
      </c>
      <c r="D44" s="9">
        <f>IF(A44&gt;$B$7,"",ROUND(B44*$B$10,2))</f>
        <v/>
      </c>
      <c r="E44" s="9">
        <f>IF(A44&gt;$B$7,"",C44-D44)</f>
        <v/>
      </c>
      <c r="F44" s="9">
        <f>IF(A44&gt;$B$7,"",B44-E44)</f>
        <v/>
      </c>
    </row>
    <row r="45">
      <c r="A45" s="12" t="n">
        <v>26</v>
      </c>
      <c r="B45" s="9">
        <f>IF(A45&gt;$B$7,"",F44)</f>
        <v/>
      </c>
      <c r="C45" s="9">
        <f>IF(A45&gt;$B$7,"",IF(A45=$B$7,B45+D45,$B$11))</f>
        <v/>
      </c>
      <c r="D45" s="9">
        <f>IF(A45&gt;$B$7,"",ROUND(B45*$B$10,2))</f>
        <v/>
      </c>
      <c r="E45" s="9">
        <f>IF(A45&gt;$B$7,"",C45-D45)</f>
        <v/>
      </c>
      <c r="F45" s="9">
        <f>IF(A45&gt;$B$7,"",B45-E45)</f>
        <v/>
      </c>
    </row>
    <row r="46">
      <c r="A46" s="12" t="n">
        <v>27</v>
      </c>
      <c r="B46" s="9">
        <f>IF(A46&gt;$B$7,"",F45)</f>
        <v/>
      </c>
      <c r="C46" s="9">
        <f>IF(A46&gt;$B$7,"",IF(A46=$B$7,B46+D46,$B$11))</f>
        <v/>
      </c>
      <c r="D46" s="9">
        <f>IF(A46&gt;$B$7,"",ROUND(B46*$B$10,2))</f>
        <v/>
      </c>
      <c r="E46" s="9">
        <f>IF(A46&gt;$B$7,"",C46-D46)</f>
        <v/>
      </c>
      <c r="F46" s="9">
        <f>IF(A46&gt;$B$7,"",B46-E46)</f>
        <v/>
      </c>
    </row>
    <row r="47">
      <c r="A47" s="12" t="n">
        <v>28</v>
      </c>
      <c r="B47" s="9">
        <f>IF(A47&gt;$B$7,"",F46)</f>
        <v/>
      </c>
      <c r="C47" s="9">
        <f>IF(A47&gt;$B$7,"",IF(A47=$B$7,B47+D47,$B$11))</f>
        <v/>
      </c>
      <c r="D47" s="9">
        <f>IF(A47&gt;$B$7,"",ROUND(B47*$B$10,2))</f>
        <v/>
      </c>
      <c r="E47" s="9">
        <f>IF(A47&gt;$B$7,"",C47-D47)</f>
        <v/>
      </c>
      <c r="F47" s="9">
        <f>IF(A47&gt;$B$7,"",B47-E47)</f>
        <v/>
      </c>
    </row>
    <row r="48">
      <c r="A48" s="12" t="n">
        <v>29</v>
      </c>
      <c r="B48" s="9">
        <f>IF(A48&gt;$B$7,"",F47)</f>
        <v/>
      </c>
      <c r="C48" s="9">
        <f>IF(A48&gt;$B$7,"",IF(A48=$B$7,B48+D48,$B$11))</f>
        <v/>
      </c>
      <c r="D48" s="9">
        <f>IF(A48&gt;$B$7,"",ROUND(B48*$B$10,2))</f>
        <v/>
      </c>
      <c r="E48" s="9">
        <f>IF(A48&gt;$B$7,"",C48-D48)</f>
        <v/>
      </c>
      <c r="F48" s="9">
        <f>IF(A48&gt;$B$7,"",B48-E48)</f>
        <v/>
      </c>
    </row>
    <row r="49">
      <c r="A49" s="12" t="n">
        <v>30</v>
      </c>
      <c r="B49" s="9">
        <f>IF(A49&gt;$B$7,"",F48)</f>
        <v/>
      </c>
      <c r="C49" s="9">
        <f>IF(A49&gt;$B$7,"",IF(A49=$B$7,B49+D49,$B$11))</f>
        <v/>
      </c>
      <c r="D49" s="9">
        <f>IF(A49&gt;$B$7,"",ROUND(B49*$B$10,2))</f>
        <v/>
      </c>
      <c r="E49" s="9">
        <f>IF(A49&gt;$B$7,"",C49-D49)</f>
        <v/>
      </c>
      <c r="F49" s="9">
        <f>IF(A49&gt;$B$7,"",B49-E49)</f>
        <v/>
      </c>
    </row>
    <row r="50">
      <c r="A50" s="12" t="n">
        <v>31</v>
      </c>
      <c r="B50" s="9">
        <f>IF(A50&gt;$B$7,"",F49)</f>
        <v/>
      </c>
      <c r="C50" s="9">
        <f>IF(A50&gt;$B$7,"",IF(A50=$B$7,B50+D50,$B$11))</f>
        <v/>
      </c>
      <c r="D50" s="9">
        <f>IF(A50&gt;$B$7,"",ROUND(B50*$B$10,2))</f>
        <v/>
      </c>
      <c r="E50" s="9">
        <f>IF(A50&gt;$B$7,"",C50-D50)</f>
        <v/>
      </c>
      <c r="F50" s="9">
        <f>IF(A50&gt;$B$7,"",B50-E50)</f>
        <v/>
      </c>
    </row>
    <row r="51">
      <c r="A51" s="12" t="n">
        <v>32</v>
      </c>
      <c r="B51" s="9">
        <f>IF(A51&gt;$B$7,"",F50)</f>
        <v/>
      </c>
      <c r="C51" s="9">
        <f>IF(A51&gt;$B$7,"",IF(A51=$B$7,B51+D51,$B$11))</f>
        <v/>
      </c>
      <c r="D51" s="9">
        <f>IF(A51&gt;$B$7,"",ROUND(B51*$B$10,2))</f>
        <v/>
      </c>
      <c r="E51" s="9">
        <f>IF(A51&gt;$B$7,"",C51-D51)</f>
        <v/>
      </c>
      <c r="F51" s="9">
        <f>IF(A51&gt;$B$7,"",B51-E51)</f>
        <v/>
      </c>
    </row>
    <row r="52">
      <c r="A52" s="12" t="n">
        <v>33</v>
      </c>
      <c r="B52" s="9">
        <f>IF(A52&gt;$B$7,"",F51)</f>
        <v/>
      </c>
      <c r="C52" s="9">
        <f>IF(A52&gt;$B$7,"",IF(A52=$B$7,B52+D52,$B$11))</f>
        <v/>
      </c>
      <c r="D52" s="9">
        <f>IF(A52&gt;$B$7,"",ROUND(B52*$B$10,2))</f>
        <v/>
      </c>
      <c r="E52" s="9">
        <f>IF(A52&gt;$B$7,"",C52-D52)</f>
        <v/>
      </c>
      <c r="F52" s="9">
        <f>IF(A52&gt;$B$7,"",B52-E52)</f>
        <v/>
      </c>
    </row>
    <row r="53">
      <c r="A53" s="12" t="n">
        <v>34</v>
      </c>
      <c r="B53" s="9">
        <f>IF(A53&gt;$B$7,"",F52)</f>
        <v/>
      </c>
      <c r="C53" s="9">
        <f>IF(A53&gt;$B$7,"",IF(A53=$B$7,B53+D53,$B$11))</f>
        <v/>
      </c>
      <c r="D53" s="9">
        <f>IF(A53&gt;$B$7,"",ROUND(B53*$B$10,2))</f>
        <v/>
      </c>
      <c r="E53" s="9">
        <f>IF(A53&gt;$B$7,"",C53-D53)</f>
        <v/>
      </c>
      <c r="F53" s="9">
        <f>IF(A53&gt;$B$7,"",B53-E53)</f>
        <v/>
      </c>
    </row>
    <row r="54">
      <c r="A54" s="12" t="n">
        <v>35</v>
      </c>
      <c r="B54" s="9">
        <f>IF(A54&gt;$B$7,"",F53)</f>
        <v/>
      </c>
      <c r="C54" s="9">
        <f>IF(A54&gt;$B$7,"",IF(A54=$B$7,B54+D54,$B$11))</f>
        <v/>
      </c>
      <c r="D54" s="9">
        <f>IF(A54&gt;$B$7,"",ROUND(B54*$B$10,2))</f>
        <v/>
      </c>
      <c r="E54" s="9">
        <f>IF(A54&gt;$B$7,"",C54-D54)</f>
        <v/>
      </c>
      <c r="F54" s="9">
        <f>IF(A54&gt;$B$7,"",B54-E54)</f>
        <v/>
      </c>
    </row>
    <row r="55">
      <c r="A55" s="12" t="n">
        <v>36</v>
      </c>
      <c r="B55" s="9">
        <f>IF(A55&gt;$B$7,"",F54)</f>
        <v/>
      </c>
      <c r="C55" s="9">
        <f>IF(A55&gt;$B$7,"",IF(A55=$B$7,B55+D55,$B$11))</f>
        <v/>
      </c>
      <c r="D55" s="9">
        <f>IF(A55&gt;$B$7,"",ROUND(B55*$B$10,2))</f>
        <v/>
      </c>
      <c r="E55" s="9">
        <f>IF(A55&gt;$B$7,"",C55-D55)</f>
        <v/>
      </c>
      <c r="F55" s="9">
        <f>IF(A55&gt;$B$7,"",B55-E55)</f>
        <v/>
      </c>
    </row>
    <row r="56">
      <c r="A56" s="12" t="n">
        <v>37</v>
      </c>
      <c r="B56" s="9">
        <f>IF(A56&gt;$B$7,"",F55)</f>
        <v/>
      </c>
      <c r="C56" s="9">
        <f>IF(A56&gt;$B$7,"",IF(A56=$B$7,B56+D56,$B$11))</f>
        <v/>
      </c>
      <c r="D56" s="9">
        <f>IF(A56&gt;$B$7,"",ROUND(B56*$B$10,2))</f>
        <v/>
      </c>
      <c r="E56" s="9">
        <f>IF(A56&gt;$B$7,"",C56-D56)</f>
        <v/>
      </c>
      <c r="F56" s="9">
        <f>IF(A56&gt;$B$7,"",B56-E56)</f>
        <v/>
      </c>
    </row>
    <row r="57">
      <c r="A57" s="12" t="n">
        <v>38</v>
      </c>
      <c r="B57" s="9">
        <f>IF(A57&gt;$B$7,"",F56)</f>
        <v/>
      </c>
      <c r="C57" s="9">
        <f>IF(A57&gt;$B$7,"",IF(A57=$B$7,B57+D57,$B$11))</f>
        <v/>
      </c>
      <c r="D57" s="9">
        <f>IF(A57&gt;$B$7,"",ROUND(B57*$B$10,2))</f>
        <v/>
      </c>
      <c r="E57" s="9">
        <f>IF(A57&gt;$B$7,"",C57-D57)</f>
        <v/>
      </c>
      <c r="F57" s="9">
        <f>IF(A57&gt;$B$7,"",B57-E57)</f>
        <v/>
      </c>
    </row>
    <row r="58">
      <c r="A58" s="12" t="n">
        <v>39</v>
      </c>
      <c r="B58" s="9">
        <f>IF(A58&gt;$B$7,"",F57)</f>
        <v/>
      </c>
      <c r="C58" s="9">
        <f>IF(A58&gt;$B$7,"",IF(A58=$B$7,B58+D58,$B$11))</f>
        <v/>
      </c>
      <c r="D58" s="9">
        <f>IF(A58&gt;$B$7,"",ROUND(B58*$B$10,2))</f>
        <v/>
      </c>
      <c r="E58" s="9">
        <f>IF(A58&gt;$B$7,"",C58-D58)</f>
        <v/>
      </c>
      <c r="F58" s="9">
        <f>IF(A58&gt;$B$7,"",B58-E58)</f>
        <v/>
      </c>
    </row>
    <row r="59">
      <c r="A59" s="12" t="n">
        <v>40</v>
      </c>
      <c r="B59" s="9">
        <f>IF(A59&gt;$B$7,"",F58)</f>
        <v/>
      </c>
      <c r="C59" s="9">
        <f>IF(A59&gt;$B$7,"",IF(A59=$B$7,B59+D59,$B$11))</f>
        <v/>
      </c>
      <c r="D59" s="9">
        <f>IF(A59&gt;$B$7,"",ROUND(B59*$B$10,2))</f>
        <v/>
      </c>
      <c r="E59" s="9">
        <f>IF(A59&gt;$B$7,"",C59-D59)</f>
        <v/>
      </c>
      <c r="F59" s="9">
        <f>IF(A59&gt;$B$7,"",B59-E59)</f>
        <v/>
      </c>
    </row>
    <row r="60">
      <c r="A60" s="12" t="n">
        <v>41</v>
      </c>
      <c r="B60" s="9">
        <f>IF(A60&gt;$B$7,"",F59)</f>
        <v/>
      </c>
      <c r="C60" s="9">
        <f>IF(A60&gt;$B$7,"",IF(A60=$B$7,B60+D60,$B$11))</f>
        <v/>
      </c>
      <c r="D60" s="9">
        <f>IF(A60&gt;$B$7,"",ROUND(B60*$B$10,2))</f>
        <v/>
      </c>
      <c r="E60" s="9">
        <f>IF(A60&gt;$B$7,"",C60-D60)</f>
        <v/>
      </c>
      <c r="F60" s="9">
        <f>IF(A60&gt;$B$7,"",B60-E60)</f>
        <v/>
      </c>
    </row>
    <row r="61">
      <c r="A61" s="12" t="n">
        <v>42</v>
      </c>
      <c r="B61" s="9">
        <f>IF(A61&gt;$B$7,"",F60)</f>
        <v/>
      </c>
      <c r="C61" s="9">
        <f>IF(A61&gt;$B$7,"",IF(A61=$B$7,B61+D61,$B$11))</f>
        <v/>
      </c>
      <c r="D61" s="9">
        <f>IF(A61&gt;$B$7,"",ROUND(B61*$B$10,2))</f>
        <v/>
      </c>
      <c r="E61" s="9">
        <f>IF(A61&gt;$B$7,"",C61-D61)</f>
        <v/>
      </c>
      <c r="F61" s="9">
        <f>IF(A61&gt;$B$7,"",B61-E61)</f>
        <v/>
      </c>
    </row>
    <row r="62">
      <c r="A62" s="12" t="n">
        <v>43</v>
      </c>
      <c r="B62" s="9">
        <f>IF(A62&gt;$B$7,"",F61)</f>
        <v/>
      </c>
      <c r="C62" s="9">
        <f>IF(A62&gt;$B$7,"",IF(A62=$B$7,B62+D62,$B$11))</f>
        <v/>
      </c>
      <c r="D62" s="9">
        <f>IF(A62&gt;$B$7,"",ROUND(B62*$B$10,2))</f>
        <v/>
      </c>
      <c r="E62" s="9">
        <f>IF(A62&gt;$B$7,"",C62-D62)</f>
        <v/>
      </c>
      <c r="F62" s="9">
        <f>IF(A62&gt;$B$7,"",B62-E62)</f>
        <v/>
      </c>
    </row>
    <row r="63">
      <c r="A63" s="12" t="n">
        <v>44</v>
      </c>
      <c r="B63" s="9">
        <f>IF(A63&gt;$B$7,"",F62)</f>
        <v/>
      </c>
      <c r="C63" s="9">
        <f>IF(A63&gt;$B$7,"",IF(A63=$B$7,B63+D63,$B$11))</f>
        <v/>
      </c>
      <c r="D63" s="9">
        <f>IF(A63&gt;$B$7,"",ROUND(B63*$B$10,2))</f>
        <v/>
      </c>
      <c r="E63" s="9">
        <f>IF(A63&gt;$B$7,"",C63-D63)</f>
        <v/>
      </c>
      <c r="F63" s="9">
        <f>IF(A63&gt;$B$7,"",B63-E63)</f>
        <v/>
      </c>
    </row>
    <row r="64">
      <c r="A64" s="12" t="n">
        <v>45</v>
      </c>
      <c r="B64" s="9">
        <f>IF(A64&gt;$B$7,"",F63)</f>
        <v/>
      </c>
      <c r="C64" s="9">
        <f>IF(A64&gt;$B$7,"",IF(A64=$B$7,B64+D64,$B$11))</f>
        <v/>
      </c>
      <c r="D64" s="9">
        <f>IF(A64&gt;$B$7,"",ROUND(B64*$B$10,2))</f>
        <v/>
      </c>
      <c r="E64" s="9">
        <f>IF(A64&gt;$B$7,"",C64-D64)</f>
        <v/>
      </c>
      <c r="F64" s="9">
        <f>IF(A64&gt;$B$7,"",B64-E64)</f>
        <v/>
      </c>
    </row>
    <row r="65">
      <c r="A65" s="12" t="n">
        <v>46</v>
      </c>
      <c r="B65" s="9">
        <f>IF(A65&gt;$B$7,"",F64)</f>
        <v/>
      </c>
      <c r="C65" s="9">
        <f>IF(A65&gt;$B$7,"",IF(A65=$B$7,B65+D65,$B$11))</f>
        <v/>
      </c>
      <c r="D65" s="9">
        <f>IF(A65&gt;$B$7,"",ROUND(B65*$B$10,2))</f>
        <v/>
      </c>
      <c r="E65" s="9">
        <f>IF(A65&gt;$B$7,"",C65-D65)</f>
        <v/>
      </c>
      <c r="F65" s="9">
        <f>IF(A65&gt;$B$7,"",B65-E65)</f>
        <v/>
      </c>
    </row>
    <row r="66">
      <c r="A66" s="12" t="n">
        <v>47</v>
      </c>
      <c r="B66" s="9">
        <f>IF(A66&gt;$B$7,"",F65)</f>
        <v/>
      </c>
      <c r="C66" s="9">
        <f>IF(A66&gt;$B$7,"",IF(A66=$B$7,B66+D66,$B$11))</f>
        <v/>
      </c>
      <c r="D66" s="9">
        <f>IF(A66&gt;$B$7,"",ROUND(B66*$B$10,2))</f>
        <v/>
      </c>
      <c r="E66" s="9">
        <f>IF(A66&gt;$B$7,"",C66-D66)</f>
        <v/>
      </c>
      <c r="F66" s="9">
        <f>IF(A66&gt;$B$7,"",B66-E66)</f>
        <v/>
      </c>
    </row>
    <row r="67">
      <c r="A67" s="12" t="n">
        <v>48</v>
      </c>
      <c r="B67" s="9">
        <f>IF(A67&gt;$B$7,"",F66)</f>
        <v/>
      </c>
      <c r="C67" s="9">
        <f>IF(A67&gt;$B$7,"",IF(A67=$B$7,B67+D67,$B$11))</f>
        <v/>
      </c>
      <c r="D67" s="9">
        <f>IF(A67&gt;$B$7,"",ROUND(B67*$B$10,2))</f>
        <v/>
      </c>
      <c r="E67" s="9">
        <f>IF(A67&gt;$B$7,"",C67-D67)</f>
        <v/>
      </c>
      <c r="F67" s="9">
        <f>IF(A67&gt;$B$7,"",B67-E67)</f>
        <v/>
      </c>
    </row>
    <row r="68">
      <c r="A68" s="12" t="n">
        <v>49</v>
      </c>
      <c r="B68" s="9">
        <f>IF(A68&gt;$B$7,"",F67)</f>
        <v/>
      </c>
      <c r="C68" s="9">
        <f>IF(A68&gt;$B$7,"",IF(A68=$B$7,B68+D68,$B$11))</f>
        <v/>
      </c>
      <c r="D68" s="9">
        <f>IF(A68&gt;$B$7,"",ROUND(B68*$B$10,2))</f>
        <v/>
      </c>
      <c r="E68" s="9">
        <f>IF(A68&gt;$B$7,"",C68-D68)</f>
        <v/>
      </c>
      <c r="F68" s="9">
        <f>IF(A68&gt;$B$7,"",B68-E68)</f>
        <v/>
      </c>
    </row>
    <row r="69">
      <c r="A69" s="12" t="n">
        <v>50</v>
      </c>
      <c r="B69" s="9">
        <f>IF(A69&gt;$B$7,"",F68)</f>
        <v/>
      </c>
      <c r="C69" s="9">
        <f>IF(A69&gt;$B$7,"",IF(A69=$B$7,B69+D69,$B$11))</f>
        <v/>
      </c>
      <c r="D69" s="9">
        <f>IF(A69&gt;$B$7,"",ROUND(B69*$B$10,2))</f>
        <v/>
      </c>
      <c r="E69" s="9">
        <f>IF(A69&gt;$B$7,"",C69-D69)</f>
        <v/>
      </c>
      <c r="F69" s="9">
        <f>IF(A69&gt;$B$7,"",B69-E69)</f>
        <v/>
      </c>
    </row>
    <row r="70">
      <c r="A70" s="12" t="n">
        <v>51</v>
      </c>
      <c r="B70" s="9">
        <f>IF(A70&gt;$B$7,"",F69)</f>
        <v/>
      </c>
      <c r="C70" s="9">
        <f>IF(A70&gt;$B$7,"",IF(A70=$B$7,B70+D70,$B$11))</f>
        <v/>
      </c>
      <c r="D70" s="9">
        <f>IF(A70&gt;$B$7,"",ROUND(B70*$B$10,2))</f>
        <v/>
      </c>
      <c r="E70" s="9">
        <f>IF(A70&gt;$B$7,"",C70-D70)</f>
        <v/>
      </c>
      <c r="F70" s="9">
        <f>IF(A70&gt;$B$7,"",B70-E70)</f>
        <v/>
      </c>
    </row>
    <row r="71">
      <c r="A71" s="12" t="n">
        <v>52</v>
      </c>
      <c r="B71" s="9">
        <f>IF(A71&gt;$B$7,"",F70)</f>
        <v/>
      </c>
      <c r="C71" s="9">
        <f>IF(A71&gt;$B$7,"",IF(A71=$B$7,B71+D71,$B$11))</f>
        <v/>
      </c>
      <c r="D71" s="9">
        <f>IF(A71&gt;$B$7,"",ROUND(B71*$B$10,2))</f>
        <v/>
      </c>
      <c r="E71" s="9">
        <f>IF(A71&gt;$B$7,"",C71-D71)</f>
        <v/>
      </c>
      <c r="F71" s="9">
        <f>IF(A71&gt;$B$7,"",B71-E71)</f>
        <v/>
      </c>
    </row>
    <row r="72">
      <c r="A72" s="12" t="n">
        <v>53</v>
      </c>
      <c r="B72" s="9">
        <f>IF(A72&gt;$B$7,"",F71)</f>
        <v/>
      </c>
      <c r="C72" s="9">
        <f>IF(A72&gt;$B$7,"",IF(A72=$B$7,B72+D72,$B$11))</f>
        <v/>
      </c>
      <c r="D72" s="9">
        <f>IF(A72&gt;$B$7,"",ROUND(B72*$B$10,2))</f>
        <v/>
      </c>
      <c r="E72" s="9">
        <f>IF(A72&gt;$B$7,"",C72-D72)</f>
        <v/>
      </c>
      <c r="F72" s="9">
        <f>IF(A72&gt;$B$7,"",B72-E72)</f>
        <v/>
      </c>
    </row>
    <row r="73">
      <c r="A73" s="12" t="n">
        <v>54</v>
      </c>
      <c r="B73" s="9">
        <f>IF(A73&gt;$B$7,"",F72)</f>
        <v/>
      </c>
      <c r="C73" s="9">
        <f>IF(A73&gt;$B$7,"",IF(A73=$B$7,B73+D73,$B$11))</f>
        <v/>
      </c>
      <c r="D73" s="9">
        <f>IF(A73&gt;$B$7,"",ROUND(B73*$B$10,2))</f>
        <v/>
      </c>
      <c r="E73" s="9">
        <f>IF(A73&gt;$B$7,"",C73-D73)</f>
        <v/>
      </c>
      <c r="F73" s="9">
        <f>IF(A73&gt;$B$7,"",B73-E73)</f>
        <v/>
      </c>
    </row>
    <row r="74">
      <c r="A74" s="12" t="n">
        <v>55</v>
      </c>
      <c r="B74" s="9">
        <f>IF(A74&gt;$B$7,"",F73)</f>
        <v/>
      </c>
      <c r="C74" s="9">
        <f>IF(A74&gt;$B$7,"",IF(A74=$B$7,B74+D74,$B$11))</f>
        <v/>
      </c>
      <c r="D74" s="9">
        <f>IF(A74&gt;$B$7,"",ROUND(B74*$B$10,2))</f>
        <v/>
      </c>
      <c r="E74" s="9">
        <f>IF(A74&gt;$B$7,"",C74-D74)</f>
        <v/>
      </c>
      <c r="F74" s="9">
        <f>IF(A74&gt;$B$7,"",B74-E74)</f>
        <v/>
      </c>
    </row>
    <row r="75">
      <c r="A75" s="12" t="n">
        <v>56</v>
      </c>
      <c r="B75" s="9">
        <f>IF(A75&gt;$B$7,"",F74)</f>
        <v/>
      </c>
      <c r="C75" s="9">
        <f>IF(A75&gt;$B$7,"",IF(A75=$B$7,B75+D75,$B$11))</f>
        <v/>
      </c>
      <c r="D75" s="9">
        <f>IF(A75&gt;$B$7,"",ROUND(B75*$B$10,2))</f>
        <v/>
      </c>
      <c r="E75" s="9">
        <f>IF(A75&gt;$B$7,"",C75-D75)</f>
        <v/>
      </c>
      <c r="F75" s="9">
        <f>IF(A75&gt;$B$7,"",B75-E75)</f>
        <v/>
      </c>
    </row>
    <row r="76">
      <c r="A76" s="12" t="n">
        <v>57</v>
      </c>
      <c r="B76" s="9">
        <f>IF(A76&gt;$B$7,"",F75)</f>
        <v/>
      </c>
      <c r="C76" s="9">
        <f>IF(A76&gt;$B$7,"",IF(A76=$B$7,B76+D76,$B$11))</f>
        <v/>
      </c>
      <c r="D76" s="9">
        <f>IF(A76&gt;$B$7,"",ROUND(B76*$B$10,2))</f>
        <v/>
      </c>
      <c r="E76" s="9">
        <f>IF(A76&gt;$B$7,"",C76-D76)</f>
        <v/>
      </c>
      <c r="F76" s="9">
        <f>IF(A76&gt;$B$7,"",B76-E76)</f>
        <v/>
      </c>
    </row>
    <row r="77">
      <c r="A77" s="12" t="n">
        <v>58</v>
      </c>
      <c r="B77" s="9">
        <f>IF(A77&gt;$B$7,"",F76)</f>
        <v/>
      </c>
      <c r="C77" s="9">
        <f>IF(A77&gt;$B$7,"",IF(A77=$B$7,B77+D77,$B$11))</f>
        <v/>
      </c>
      <c r="D77" s="9">
        <f>IF(A77&gt;$B$7,"",ROUND(B77*$B$10,2))</f>
        <v/>
      </c>
      <c r="E77" s="9">
        <f>IF(A77&gt;$B$7,"",C77-D77)</f>
        <v/>
      </c>
      <c r="F77" s="9">
        <f>IF(A77&gt;$B$7,"",B77-E77)</f>
        <v/>
      </c>
    </row>
    <row r="78">
      <c r="A78" s="12" t="n">
        <v>59</v>
      </c>
      <c r="B78" s="9">
        <f>IF(A78&gt;$B$7,"",F77)</f>
        <v/>
      </c>
      <c r="C78" s="9">
        <f>IF(A78&gt;$B$7,"",IF(A78=$B$7,B78+D78,$B$11))</f>
        <v/>
      </c>
      <c r="D78" s="9">
        <f>IF(A78&gt;$B$7,"",ROUND(B78*$B$10,2))</f>
        <v/>
      </c>
      <c r="E78" s="9">
        <f>IF(A78&gt;$B$7,"",C78-D78)</f>
        <v/>
      </c>
      <c r="F78" s="9">
        <f>IF(A78&gt;$B$7,"",B78-E78)</f>
        <v/>
      </c>
    </row>
    <row r="79">
      <c r="A79" s="12" t="n">
        <v>60</v>
      </c>
      <c r="B79" s="9">
        <f>IF(A79&gt;$B$7,"",F78)</f>
        <v/>
      </c>
      <c r="C79" s="9">
        <f>IF(A79&gt;$B$7,"",IF(A79=$B$7,B79+D79,$B$11))</f>
        <v/>
      </c>
      <c r="D79" s="9">
        <f>IF(A79&gt;$B$7,"",ROUND(B79*$B$10,2))</f>
        <v/>
      </c>
      <c r="E79" s="9">
        <f>IF(A79&gt;$B$7,"",C79-D79)</f>
        <v/>
      </c>
      <c r="F79" s="9">
        <f>IF(A79&gt;$B$7,"",B79-E79)</f>
        <v/>
      </c>
    </row>
    <row r="80">
      <c r="A80" s="12" t="n">
        <v>61</v>
      </c>
      <c r="B80" s="9">
        <f>IF(A80&gt;$B$7,"",F79)</f>
        <v/>
      </c>
      <c r="C80" s="9">
        <f>IF(A80&gt;$B$7,"",IF(A80=$B$7,B80+D80,$B$11))</f>
        <v/>
      </c>
      <c r="D80" s="9">
        <f>IF(A80&gt;$B$7,"",ROUND(B80*$B$10,2))</f>
        <v/>
      </c>
      <c r="E80" s="9">
        <f>IF(A80&gt;$B$7,"",C80-D80)</f>
        <v/>
      </c>
      <c r="F80" s="9">
        <f>IF(A80&gt;$B$7,"",B80-E80)</f>
        <v/>
      </c>
    </row>
    <row r="81">
      <c r="A81" s="12" t="n">
        <v>62</v>
      </c>
      <c r="B81" s="9">
        <f>IF(A81&gt;$B$7,"",F80)</f>
        <v/>
      </c>
      <c r="C81" s="9">
        <f>IF(A81&gt;$B$7,"",IF(A81=$B$7,B81+D81,$B$11))</f>
        <v/>
      </c>
      <c r="D81" s="9">
        <f>IF(A81&gt;$B$7,"",ROUND(B81*$B$10,2))</f>
        <v/>
      </c>
      <c r="E81" s="9">
        <f>IF(A81&gt;$B$7,"",C81-D81)</f>
        <v/>
      </c>
      <c r="F81" s="9">
        <f>IF(A81&gt;$B$7,"",B81-E81)</f>
        <v/>
      </c>
    </row>
    <row r="82">
      <c r="A82" s="12" t="n">
        <v>63</v>
      </c>
      <c r="B82" s="9">
        <f>IF(A82&gt;$B$7,"",F81)</f>
        <v/>
      </c>
      <c r="C82" s="9">
        <f>IF(A82&gt;$B$7,"",IF(A82=$B$7,B82+D82,$B$11))</f>
        <v/>
      </c>
      <c r="D82" s="9">
        <f>IF(A82&gt;$B$7,"",ROUND(B82*$B$10,2))</f>
        <v/>
      </c>
      <c r="E82" s="9">
        <f>IF(A82&gt;$B$7,"",C82-D82)</f>
        <v/>
      </c>
      <c r="F82" s="9">
        <f>IF(A82&gt;$B$7,"",B82-E82)</f>
        <v/>
      </c>
    </row>
    <row r="83">
      <c r="A83" s="12" t="n">
        <v>64</v>
      </c>
      <c r="B83" s="9">
        <f>IF(A83&gt;$B$7,"",F82)</f>
        <v/>
      </c>
      <c r="C83" s="9">
        <f>IF(A83&gt;$B$7,"",IF(A83=$B$7,B83+D83,$B$11))</f>
        <v/>
      </c>
      <c r="D83" s="9">
        <f>IF(A83&gt;$B$7,"",ROUND(B83*$B$10,2))</f>
        <v/>
      </c>
      <c r="E83" s="9">
        <f>IF(A83&gt;$B$7,"",C83-D83)</f>
        <v/>
      </c>
      <c r="F83" s="9">
        <f>IF(A83&gt;$B$7,"",B83-E83)</f>
        <v/>
      </c>
    </row>
    <row r="84">
      <c r="A84" s="12" t="n">
        <v>65</v>
      </c>
      <c r="B84" s="9">
        <f>IF(A84&gt;$B$7,"",F83)</f>
        <v/>
      </c>
      <c r="C84" s="9">
        <f>IF(A84&gt;$B$7,"",IF(A84=$B$7,B84+D84,$B$11))</f>
        <v/>
      </c>
      <c r="D84" s="9">
        <f>IF(A84&gt;$B$7,"",ROUND(B84*$B$10,2))</f>
        <v/>
      </c>
      <c r="E84" s="9">
        <f>IF(A84&gt;$B$7,"",C84-D84)</f>
        <v/>
      </c>
      <c r="F84" s="9">
        <f>IF(A84&gt;$B$7,"",B84-E84)</f>
        <v/>
      </c>
    </row>
    <row r="85">
      <c r="A85" s="12" t="n">
        <v>66</v>
      </c>
      <c r="B85" s="9">
        <f>IF(A85&gt;$B$7,"",F84)</f>
        <v/>
      </c>
      <c r="C85" s="9">
        <f>IF(A85&gt;$B$7,"",IF(A85=$B$7,B85+D85,$B$11))</f>
        <v/>
      </c>
      <c r="D85" s="9">
        <f>IF(A85&gt;$B$7,"",ROUND(B85*$B$10,2))</f>
        <v/>
      </c>
      <c r="E85" s="9">
        <f>IF(A85&gt;$B$7,"",C85-D85)</f>
        <v/>
      </c>
      <c r="F85" s="9">
        <f>IF(A85&gt;$B$7,"",B85-E85)</f>
        <v/>
      </c>
    </row>
    <row r="86">
      <c r="A86" s="12" t="n">
        <v>67</v>
      </c>
      <c r="B86" s="9">
        <f>IF(A86&gt;$B$7,"",F85)</f>
        <v/>
      </c>
      <c r="C86" s="9">
        <f>IF(A86&gt;$B$7,"",IF(A86=$B$7,B86+D86,$B$11))</f>
        <v/>
      </c>
      <c r="D86" s="9">
        <f>IF(A86&gt;$B$7,"",ROUND(B86*$B$10,2))</f>
        <v/>
      </c>
      <c r="E86" s="9">
        <f>IF(A86&gt;$B$7,"",C86-D86)</f>
        <v/>
      </c>
      <c r="F86" s="9">
        <f>IF(A86&gt;$B$7,"",B86-E86)</f>
        <v/>
      </c>
    </row>
    <row r="87">
      <c r="A87" s="12" t="n">
        <v>68</v>
      </c>
      <c r="B87" s="9">
        <f>IF(A87&gt;$B$7,"",F86)</f>
        <v/>
      </c>
      <c r="C87" s="9">
        <f>IF(A87&gt;$B$7,"",IF(A87=$B$7,B87+D87,$B$11))</f>
        <v/>
      </c>
      <c r="D87" s="9">
        <f>IF(A87&gt;$B$7,"",ROUND(B87*$B$10,2))</f>
        <v/>
      </c>
      <c r="E87" s="9">
        <f>IF(A87&gt;$B$7,"",C87-D87)</f>
        <v/>
      </c>
      <c r="F87" s="9">
        <f>IF(A87&gt;$B$7,"",B87-E87)</f>
        <v/>
      </c>
    </row>
    <row r="88">
      <c r="A88" s="12" t="n">
        <v>69</v>
      </c>
      <c r="B88" s="9">
        <f>IF(A88&gt;$B$7,"",F87)</f>
        <v/>
      </c>
      <c r="C88" s="9">
        <f>IF(A88&gt;$B$7,"",IF(A88=$B$7,B88+D88,$B$11))</f>
        <v/>
      </c>
      <c r="D88" s="9">
        <f>IF(A88&gt;$B$7,"",ROUND(B88*$B$10,2))</f>
        <v/>
      </c>
      <c r="E88" s="9">
        <f>IF(A88&gt;$B$7,"",C88-D88)</f>
        <v/>
      </c>
      <c r="F88" s="9">
        <f>IF(A88&gt;$B$7,"",B88-E88)</f>
        <v/>
      </c>
    </row>
    <row r="89">
      <c r="A89" s="12" t="n">
        <v>70</v>
      </c>
      <c r="B89" s="9">
        <f>IF(A89&gt;$B$7,"",F88)</f>
        <v/>
      </c>
      <c r="C89" s="9">
        <f>IF(A89&gt;$B$7,"",IF(A89=$B$7,B89+D89,$B$11))</f>
        <v/>
      </c>
      <c r="D89" s="9">
        <f>IF(A89&gt;$B$7,"",ROUND(B89*$B$10,2))</f>
        <v/>
      </c>
      <c r="E89" s="9">
        <f>IF(A89&gt;$B$7,"",C89-D89)</f>
        <v/>
      </c>
      <c r="F89" s="9">
        <f>IF(A89&gt;$B$7,"",B89-E89)</f>
        <v/>
      </c>
    </row>
    <row r="90">
      <c r="A90" s="12" t="n">
        <v>71</v>
      </c>
      <c r="B90" s="9">
        <f>IF(A90&gt;$B$7,"",F89)</f>
        <v/>
      </c>
      <c r="C90" s="9">
        <f>IF(A90&gt;$B$7,"",IF(A90=$B$7,B90+D90,$B$11))</f>
        <v/>
      </c>
      <c r="D90" s="9">
        <f>IF(A90&gt;$B$7,"",ROUND(B90*$B$10,2))</f>
        <v/>
      </c>
      <c r="E90" s="9">
        <f>IF(A90&gt;$B$7,"",C90-D90)</f>
        <v/>
      </c>
      <c r="F90" s="9">
        <f>IF(A90&gt;$B$7,"",B90-E90)</f>
        <v/>
      </c>
    </row>
    <row r="91">
      <c r="A91" s="12" t="n">
        <v>72</v>
      </c>
      <c r="B91" s="9">
        <f>IF(A91&gt;$B$7,"",F90)</f>
        <v/>
      </c>
      <c r="C91" s="9">
        <f>IF(A91&gt;$B$7,"",IF(A91=$B$7,B91+D91,$B$11))</f>
        <v/>
      </c>
      <c r="D91" s="9">
        <f>IF(A91&gt;$B$7,"",ROUND(B91*$B$10,2))</f>
        <v/>
      </c>
      <c r="E91" s="9">
        <f>IF(A91&gt;$B$7,"",C91-D91)</f>
        <v/>
      </c>
      <c r="F91" s="9">
        <f>IF(A91&gt;$B$7,"",B91-E91)</f>
        <v/>
      </c>
    </row>
    <row r="92">
      <c r="A92" s="12" t="n">
        <v>73</v>
      </c>
      <c r="B92" s="9">
        <f>IF(A92&gt;$B$7,"",F91)</f>
        <v/>
      </c>
      <c r="C92" s="9">
        <f>IF(A92&gt;$B$7,"",IF(A92=$B$7,B92+D92,$B$11))</f>
        <v/>
      </c>
      <c r="D92" s="9">
        <f>IF(A92&gt;$B$7,"",ROUND(B92*$B$10,2))</f>
        <v/>
      </c>
      <c r="E92" s="9">
        <f>IF(A92&gt;$B$7,"",C92-D92)</f>
        <v/>
      </c>
      <c r="F92" s="9">
        <f>IF(A92&gt;$B$7,"",B92-E92)</f>
        <v/>
      </c>
    </row>
    <row r="93">
      <c r="A93" s="12" t="n">
        <v>74</v>
      </c>
      <c r="B93" s="9">
        <f>IF(A93&gt;$B$7,"",F92)</f>
        <v/>
      </c>
      <c r="C93" s="9">
        <f>IF(A93&gt;$B$7,"",IF(A93=$B$7,B93+D93,$B$11))</f>
        <v/>
      </c>
      <c r="D93" s="9">
        <f>IF(A93&gt;$B$7,"",ROUND(B93*$B$10,2))</f>
        <v/>
      </c>
      <c r="E93" s="9">
        <f>IF(A93&gt;$B$7,"",C93-D93)</f>
        <v/>
      </c>
      <c r="F93" s="9">
        <f>IF(A93&gt;$B$7,"",B93-E93)</f>
        <v/>
      </c>
    </row>
    <row r="94">
      <c r="A94" s="12" t="n">
        <v>75</v>
      </c>
      <c r="B94" s="9">
        <f>IF(A94&gt;$B$7,"",F93)</f>
        <v/>
      </c>
      <c r="C94" s="9">
        <f>IF(A94&gt;$B$7,"",IF(A94=$B$7,B94+D94,$B$11))</f>
        <v/>
      </c>
      <c r="D94" s="9">
        <f>IF(A94&gt;$B$7,"",ROUND(B94*$B$10,2))</f>
        <v/>
      </c>
      <c r="E94" s="9">
        <f>IF(A94&gt;$B$7,"",C94-D94)</f>
        <v/>
      </c>
      <c r="F94" s="9">
        <f>IF(A94&gt;$B$7,"",B94-E94)</f>
        <v/>
      </c>
    </row>
    <row r="95">
      <c r="A95" s="12" t="n">
        <v>76</v>
      </c>
      <c r="B95" s="9">
        <f>IF(A95&gt;$B$7,"",F94)</f>
        <v/>
      </c>
      <c r="C95" s="9">
        <f>IF(A95&gt;$B$7,"",IF(A95=$B$7,B95+D95,$B$11))</f>
        <v/>
      </c>
      <c r="D95" s="9">
        <f>IF(A95&gt;$B$7,"",ROUND(B95*$B$10,2))</f>
        <v/>
      </c>
      <c r="E95" s="9">
        <f>IF(A95&gt;$B$7,"",C95-D95)</f>
        <v/>
      </c>
      <c r="F95" s="9">
        <f>IF(A95&gt;$B$7,"",B95-E95)</f>
        <v/>
      </c>
    </row>
    <row r="96">
      <c r="A96" s="12" t="n">
        <v>77</v>
      </c>
      <c r="B96" s="9">
        <f>IF(A96&gt;$B$7,"",F95)</f>
        <v/>
      </c>
      <c r="C96" s="9">
        <f>IF(A96&gt;$B$7,"",IF(A96=$B$7,B96+D96,$B$11))</f>
        <v/>
      </c>
      <c r="D96" s="9">
        <f>IF(A96&gt;$B$7,"",ROUND(B96*$B$10,2))</f>
        <v/>
      </c>
      <c r="E96" s="9">
        <f>IF(A96&gt;$B$7,"",C96-D96)</f>
        <v/>
      </c>
      <c r="F96" s="9">
        <f>IF(A96&gt;$B$7,"",B96-E96)</f>
        <v/>
      </c>
    </row>
    <row r="97">
      <c r="A97" s="12" t="n">
        <v>78</v>
      </c>
      <c r="B97" s="9">
        <f>IF(A97&gt;$B$7,"",F96)</f>
        <v/>
      </c>
      <c r="C97" s="9">
        <f>IF(A97&gt;$B$7,"",IF(A97=$B$7,B97+D97,$B$11))</f>
        <v/>
      </c>
      <c r="D97" s="9">
        <f>IF(A97&gt;$B$7,"",ROUND(B97*$B$10,2))</f>
        <v/>
      </c>
      <c r="E97" s="9">
        <f>IF(A97&gt;$B$7,"",C97-D97)</f>
        <v/>
      </c>
      <c r="F97" s="9">
        <f>IF(A97&gt;$B$7,"",B97-E97)</f>
        <v/>
      </c>
    </row>
    <row r="98">
      <c r="A98" s="12" t="n">
        <v>79</v>
      </c>
      <c r="B98" s="9">
        <f>IF(A98&gt;$B$7,"",F97)</f>
        <v/>
      </c>
      <c r="C98" s="9">
        <f>IF(A98&gt;$B$7,"",IF(A98=$B$7,B98+D98,$B$11))</f>
        <v/>
      </c>
      <c r="D98" s="9">
        <f>IF(A98&gt;$B$7,"",ROUND(B98*$B$10,2))</f>
        <v/>
      </c>
      <c r="E98" s="9">
        <f>IF(A98&gt;$B$7,"",C98-D98)</f>
        <v/>
      </c>
      <c r="F98" s="9">
        <f>IF(A98&gt;$B$7,"",B98-E98)</f>
        <v/>
      </c>
    </row>
    <row r="99">
      <c r="A99" s="12" t="n">
        <v>80</v>
      </c>
      <c r="B99" s="9">
        <f>IF(A99&gt;$B$7,"",F98)</f>
        <v/>
      </c>
      <c r="C99" s="9">
        <f>IF(A99&gt;$B$7,"",IF(A99=$B$7,B99+D99,$B$11))</f>
        <v/>
      </c>
      <c r="D99" s="9">
        <f>IF(A99&gt;$B$7,"",ROUND(B99*$B$10,2))</f>
        <v/>
      </c>
      <c r="E99" s="9">
        <f>IF(A99&gt;$B$7,"",C99-D99)</f>
        <v/>
      </c>
      <c r="F99" s="9">
        <f>IF(A99&gt;$B$7,"",B99-E99)</f>
        <v/>
      </c>
    </row>
    <row r="100">
      <c r="A100" s="12" t="n">
        <v>81</v>
      </c>
      <c r="B100" s="9">
        <f>IF(A100&gt;$B$7,"",F99)</f>
        <v/>
      </c>
      <c r="C100" s="9">
        <f>IF(A100&gt;$B$7,"",IF(A100=$B$7,B100+D100,$B$11))</f>
        <v/>
      </c>
      <c r="D100" s="9">
        <f>IF(A100&gt;$B$7,"",ROUND(B100*$B$10,2))</f>
        <v/>
      </c>
      <c r="E100" s="9">
        <f>IF(A100&gt;$B$7,"",C100-D100)</f>
        <v/>
      </c>
      <c r="F100" s="9">
        <f>IF(A100&gt;$B$7,"",B100-E100)</f>
        <v/>
      </c>
    </row>
    <row r="101">
      <c r="A101" s="12" t="n">
        <v>82</v>
      </c>
      <c r="B101" s="9">
        <f>IF(A101&gt;$B$7,"",F100)</f>
        <v/>
      </c>
      <c r="C101" s="9">
        <f>IF(A101&gt;$B$7,"",IF(A101=$B$7,B101+D101,$B$11))</f>
        <v/>
      </c>
      <c r="D101" s="9">
        <f>IF(A101&gt;$B$7,"",ROUND(B101*$B$10,2))</f>
        <v/>
      </c>
      <c r="E101" s="9">
        <f>IF(A101&gt;$B$7,"",C101-D101)</f>
        <v/>
      </c>
      <c r="F101" s="9">
        <f>IF(A101&gt;$B$7,"",B101-E101)</f>
        <v/>
      </c>
    </row>
    <row r="102">
      <c r="A102" s="12" t="n">
        <v>83</v>
      </c>
      <c r="B102" s="9">
        <f>IF(A102&gt;$B$7,"",F101)</f>
        <v/>
      </c>
      <c r="C102" s="9">
        <f>IF(A102&gt;$B$7,"",IF(A102=$B$7,B102+D102,$B$11))</f>
        <v/>
      </c>
      <c r="D102" s="9">
        <f>IF(A102&gt;$B$7,"",ROUND(B102*$B$10,2))</f>
        <v/>
      </c>
      <c r="E102" s="9">
        <f>IF(A102&gt;$B$7,"",C102-D102)</f>
        <v/>
      </c>
      <c r="F102" s="9">
        <f>IF(A102&gt;$B$7,"",B102-E102)</f>
        <v/>
      </c>
    </row>
    <row r="103">
      <c r="A103" s="12" t="n">
        <v>84</v>
      </c>
      <c r="B103" s="9">
        <f>IF(A103&gt;$B$7,"",F102)</f>
        <v/>
      </c>
      <c r="C103" s="9">
        <f>IF(A103&gt;$B$7,"",IF(A103=$B$7,B103+D103,$B$11))</f>
        <v/>
      </c>
      <c r="D103" s="9">
        <f>IF(A103&gt;$B$7,"",ROUND(B103*$B$10,2))</f>
        <v/>
      </c>
      <c r="E103" s="9">
        <f>IF(A103&gt;$B$7,"",C103-D103)</f>
        <v/>
      </c>
      <c r="F103" s="9">
        <f>IF(A103&gt;$B$7,"",B103-E103)</f>
        <v/>
      </c>
    </row>
    <row r="104">
      <c r="A104" s="12" t="n">
        <v>85</v>
      </c>
      <c r="B104" s="9">
        <f>IF(A104&gt;$B$7,"",F103)</f>
        <v/>
      </c>
      <c r="C104" s="9">
        <f>IF(A104&gt;$B$7,"",IF(A104=$B$7,B104+D104,$B$11))</f>
        <v/>
      </c>
      <c r="D104" s="9">
        <f>IF(A104&gt;$B$7,"",ROUND(B104*$B$10,2))</f>
        <v/>
      </c>
      <c r="E104" s="9">
        <f>IF(A104&gt;$B$7,"",C104-D104)</f>
        <v/>
      </c>
      <c r="F104" s="9">
        <f>IF(A104&gt;$B$7,"",B104-E104)</f>
        <v/>
      </c>
    </row>
    <row r="105">
      <c r="A105" s="12" t="n">
        <v>86</v>
      </c>
      <c r="B105" s="9">
        <f>IF(A105&gt;$B$7,"",F104)</f>
        <v/>
      </c>
      <c r="C105" s="9">
        <f>IF(A105&gt;$B$7,"",IF(A105=$B$7,B105+D105,$B$11))</f>
        <v/>
      </c>
      <c r="D105" s="9">
        <f>IF(A105&gt;$B$7,"",ROUND(B105*$B$10,2))</f>
        <v/>
      </c>
      <c r="E105" s="9">
        <f>IF(A105&gt;$B$7,"",C105-D105)</f>
        <v/>
      </c>
      <c r="F105" s="9">
        <f>IF(A105&gt;$B$7,"",B105-E105)</f>
        <v/>
      </c>
    </row>
    <row r="106">
      <c r="A106" s="12" t="n">
        <v>87</v>
      </c>
      <c r="B106" s="9">
        <f>IF(A106&gt;$B$7,"",F105)</f>
        <v/>
      </c>
      <c r="C106" s="9">
        <f>IF(A106&gt;$B$7,"",IF(A106=$B$7,B106+D106,$B$11))</f>
        <v/>
      </c>
      <c r="D106" s="9">
        <f>IF(A106&gt;$B$7,"",ROUND(B106*$B$10,2))</f>
        <v/>
      </c>
      <c r="E106" s="9">
        <f>IF(A106&gt;$B$7,"",C106-D106)</f>
        <v/>
      </c>
      <c r="F106" s="9">
        <f>IF(A106&gt;$B$7,"",B106-E106)</f>
        <v/>
      </c>
    </row>
    <row r="107">
      <c r="A107" s="12" t="n">
        <v>88</v>
      </c>
      <c r="B107" s="9">
        <f>IF(A107&gt;$B$7,"",F106)</f>
        <v/>
      </c>
      <c r="C107" s="9">
        <f>IF(A107&gt;$B$7,"",IF(A107=$B$7,B107+D107,$B$11))</f>
        <v/>
      </c>
      <c r="D107" s="9">
        <f>IF(A107&gt;$B$7,"",ROUND(B107*$B$10,2))</f>
        <v/>
      </c>
      <c r="E107" s="9">
        <f>IF(A107&gt;$B$7,"",C107-D107)</f>
        <v/>
      </c>
      <c r="F107" s="9">
        <f>IF(A107&gt;$B$7,"",B107-E107)</f>
        <v/>
      </c>
    </row>
    <row r="108">
      <c r="A108" s="12" t="n">
        <v>89</v>
      </c>
      <c r="B108" s="9">
        <f>IF(A108&gt;$B$7,"",F107)</f>
        <v/>
      </c>
      <c r="C108" s="9">
        <f>IF(A108&gt;$B$7,"",IF(A108=$B$7,B108+D108,$B$11))</f>
        <v/>
      </c>
      <c r="D108" s="9">
        <f>IF(A108&gt;$B$7,"",ROUND(B108*$B$10,2))</f>
        <v/>
      </c>
      <c r="E108" s="9">
        <f>IF(A108&gt;$B$7,"",C108-D108)</f>
        <v/>
      </c>
      <c r="F108" s="9">
        <f>IF(A108&gt;$B$7,"",B108-E108)</f>
        <v/>
      </c>
    </row>
    <row r="109">
      <c r="A109" s="12" t="n">
        <v>90</v>
      </c>
      <c r="B109" s="9">
        <f>IF(A109&gt;$B$7,"",F108)</f>
        <v/>
      </c>
      <c r="C109" s="9">
        <f>IF(A109&gt;$B$7,"",IF(A109=$B$7,B109+D109,$B$11))</f>
        <v/>
      </c>
      <c r="D109" s="9">
        <f>IF(A109&gt;$B$7,"",ROUND(B109*$B$10,2))</f>
        <v/>
      </c>
      <c r="E109" s="9">
        <f>IF(A109&gt;$B$7,"",C109-D109)</f>
        <v/>
      </c>
      <c r="F109" s="9">
        <f>IF(A109&gt;$B$7,"",B109-E109)</f>
        <v/>
      </c>
    </row>
    <row r="110">
      <c r="A110" s="12" t="n">
        <v>91</v>
      </c>
      <c r="B110" s="9">
        <f>IF(A110&gt;$B$7,"",F109)</f>
        <v/>
      </c>
      <c r="C110" s="9">
        <f>IF(A110&gt;$B$7,"",IF(A110=$B$7,B110+D110,$B$11))</f>
        <v/>
      </c>
      <c r="D110" s="9">
        <f>IF(A110&gt;$B$7,"",ROUND(B110*$B$10,2))</f>
        <v/>
      </c>
      <c r="E110" s="9">
        <f>IF(A110&gt;$B$7,"",C110-D110)</f>
        <v/>
      </c>
      <c r="F110" s="9">
        <f>IF(A110&gt;$B$7,"",B110-E110)</f>
        <v/>
      </c>
    </row>
    <row r="111">
      <c r="A111" s="12" t="n">
        <v>92</v>
      </c>
      <c r="B111" s="9">
        <f>IF(A111&gt;$B$7,"",F110)</f>
        <v/>
      </c>
      <c r="C111" s="9">
        <f>IF(A111&gt;$B$7,"",IF(A111=$B$7,B111+D111,$B$11))</f>
        <v/>
      </c>
      <c r="D111" s="9">
        <f>IF(A111&gt;$B$7,"",ROUND(B111*$B$10,2))</f>
        <v/>
      </c>
      <c r="E111" s="9">
        <f>IF(A111&gt;$B$7,"",C111-D111)</f>
        <v/>
      </c>
      <c r="F111" s="9">
        <f>IF(A111&gt;$B$7,"",B111-E111)</f>
        <v/>
      </c>
    </row>
    <row r="112">
      <c r="A112" s="12" t="n">
        <v>93</v>
      </c>
      <c r="B112" s="9">
        <f>IF(A112&gt;$B$7,"",F111)</f>
        <v/>
      </c>
      <c r="C112" s="9">
        <f>IF(A112&gt;$B$7,"",IF(A112=$B$7,B112+D112,$B$11))</f>
        <v/>
      </c>
      <c r="D112" s="9">
        <f>IF(A112&gt;$B$7,"",ROUND(B112*$B$10,2))</f>
        <v/>
      </c>
      <c r="E112" s="9">
        <f>IF(A112&gt;$B$7,"",C112-D112)</f>
        <v/>
      </c>
      <c r="F112" s="9">
        <f>IF(A112&gt;$B$7,"",B112-E112)</f>
        <v/>
      </c>
    </row>
    <row r="113">
      <c r="A113" s="12" t="n">
        <v>94</v>
      </c>
      <c r="B113" s="9">
        <f>IF(A113&gt;$B$7,"",F112)</f>
        <v/>
      </c>
      <c r="C113" s="9">
        <f>IF(A113&gt;$B$7,"",IF(A113=$B$7,B113+D113,$B$11))</f>
        <v/>
      </c>
      <c r="D113" s="9">
        <f>IF(A113&gt;$B$7,"",ROUND(B113*$B$10,2))</f>
        <v/>
      </c>
      <c r="E113" s="9">
        <f>IF(A113&gt;$B$7,"",C113-D113)</f>
        <v/>
      </c>
      <c r="F113" s="9">
        <f>IF(A113&gt;$B$7,"",B113-E113)</f>
        <v/>
      </c>
    </row>
    <row r="114">
      <c r="A114" s="12" t="n">
        <v>95</v>
      </c>
      <c r="B114" s="9">
        <f>IF(A114&gt;$B$7,"",F113)</f>
        <v/>
      </c>
      <c r="C114" s="9">
        <f>IF(A114&gt;$B$7,"",IF(A114=$B$7,B114+D114,$B$11))</f>
        <v/>
      </c>
      <c r="D114" s="9">
        <f>IF(A114&gt;$B$7,"",ROUND(B114*$B$10,2))</f>
        <v/>
      </c>
      <c r="E114" s="9">
        <f>IF(A114&gt;$B$7,"",C114-D114)</f>
        <v/>
      </c>
      <c r="F114" s="9">
        <f>IF(A114&gt;$B$7,"",B114-E114)</f>
        <v/>
      </c>
    </row>
    <row r="115">
      <c r="A115" s="12" t="n">
        <v>96</v>
      </c>
      <c r="B115" s="9">
        <f>IF(A115&gt;$B$7,"",F114)</f>
        <v/>
      </c>
      <c r="C115" s="9">
        <f>IF(A115&gt;$B$7,"",IF(A115=$B$7,B115+D115,$B$11))</f>
        <v/>
      </c>
      <c r="D115" s="9">
        <f>IF(A115&gt;$B$7,"",ROUND(B115*$B$10,2))</f>
        <v/>
      </c>
      <c r="E115" s="9">
        <f>IF(A115&gt;$B$7,"",C115-D115)</f>
        <v/>
      </c>
      <c r="F115" s="9">
        <f>IF(A115&gt;$B$7,"",B115-E115)</f>
        <v/>
      </c>
    </row>
    <row r="116">
      <c r="A116" s="12" t="n">
        <v>97</v>
      </c>
      <c r="B116" s="9">
        <f>IF(A116&gt;$B$7,"",F115)</f>
        <v/>
      </c>
      <c r="C116" s="9">
        <f>IF(A116&gt;$B$7,"",IF(A116=$B$7,B116+D116,$B$11))</f>
        <v/>
      </c>
      <c r="D116" s="9">
        <f>IF(A116&gt;$B$7,"",ROUND(B116*$B$10,2))</f>
        <v/>
      </c>
      <c r="E116" s="9">
        <f>IF(A116&gt;$B$7,"",C116-D116)</f>
        <v/>
      </c>
      <c r="F116" s="9">
        <f>IF(A116&gt;$B$7,"",B116-E116)</f>
        <v/>
      </c>
    </row>
    <row r="117">
      <c r="A117" s="12" t="n">
        <v>98</v>
      </c>
      <c r="B117" s="9">
        <f>IF(A117&gt;$B$7,"",F116)</f>
        <v/>
      </c>
      <c r="C117" s="9">
        <f>IF(A117&gt;$B$7,"",IF(A117=$B$7,B117+D117,$B$11))</f>
        <v/>
      </c>
      <c r="D117" s="9">
        <f>IF(A117&gt;$B$7,"",ROUND(B117*$B$10,2))</f>
        <v/>
      </c>
      <c r="E117" s="9">
        <f>IF(A117&gt;$B$7,"",C117-D117)</f>
        <v/>
      </c>
      <c r="F117" s="9">
        <f>IF(A117&gt;$B$7,"",B117-E117)</f>
        <v/>
      </c>
    </row>
    <row r="118">
      <c r="A118" s="12" t="n">
        <v>99</v>
      </c>
      <c r="B118" s="9">
        <f>IF(A118&gt;$B$7,"",F117)</f>
        <v/>
      </c>
      <c r="C118" s="9">
        <f>IF(A118&gt;$B$7,"",IF(A118=$B$7,B118+D118,$B$11))</f>
        <v/>
      </c>
      <c r="D118" s="9">
        <f>IF(A118&gt;$B$7,"",ROUND(B118*$B$10,2))</f>
        <v/>
      </c>
      <c r="E118" s="9">
        <f>IF(A118&gt;$B$7,"",C118-D118)</f>
        <v/>
      </c>
      <c r="F118" s="9">
        <f>IF(A118&gt;$B$7,"",B118-E118)</f>
        <v/>
      </c>
    </row>
    <row r="119">
      <c r="A119" s="12" t="n">
        <v>100</v>
      </c>
      <c r="B119" s="9">
        <f>IF(A119&gt;$B$7,"",F118)</f>
        <v/>
      </c>
      <c r="C119" s="9">
        <f>IF(A119&gt;$B$7,"",IF(A119=$B$7,B119+D119,$B$11))</f>
        <v/>
      </c>
      <c r="D119" s="9">
        <f>IF(A119&gt;$B$7,"",ROUND(B119*$B$10,2))</f>
        <v/>
      </c>
      <c r="E119" s="9">
        <f>IF(A119&gt;$B$7,"",C119-D119)</f>
        <v/>
      </c>
      <c r="F119" s="9">
        <f>IF(A119&gt;$B$7,"",B119-E119)</f>
        <v/>
      </c>
    </row>
    <row r="120">
      <c r="A120" s="12" t="n">
        <v>101</v>
      </c>
      <c r="B120" s="9">
        <f>IF(A120&gt;$B$7,"",F119)</f>
        <v/>
      </c>
      <c r="C120" s="9">
        <f>IF(A120&gt;$B$7,"",IF(A120=$B$7,B120+D120,$B$11))</f>
        <v/>
      </c>
      <c r="D120" s="9">
        <f>IF(A120&gt;$B$7,"",ROUND(B120*$B$10,2))</f>
        <v/>
      </c>
      <c r="E120" s="9">
        <f>IF(A120&gt;$B$7,"",C120-D120)</f>
        <v/>
      </c>
      <c r="F120" s="9">
        <f>IF(A120&gt;$B$7,"",B120-E120)</f>
        <v/>
      </c>
    </row>
    <row r="121">
      <c r="A121" s="12" t="n">
        <v>102</v>
      </c>
      <c r="B121" s="9">
        <f>IF(A121&gt;$B$7,"",F120)</f>
        <v/>
      </c>
      <c r="C121" s="9">
        <f>IF(A121&gt;$B$7,"",IF(A121=$B$7,B121+D121,$B$11))</f>
        <v/>
      </c>
      <c r="D121" s="9">
        <f>IF(A121&gt;$B$7,"",ROUND(B121*$B$10,2))</f>
        <v/>
      </c>
      <c r="E121" s="9">
        <f>IF(A121&gt;$B$7,"",C121-D121)</f>
        <v/>
      </c>
      <c r="F121" s="9">
        <f>IF(A121&gt;$B$7,"",B121-E121)</f>
        <v/>
      </c>
    </row>
    <row r="122">
      <c r="A122" s="12" t="n">
        <v>103</v>
      </c>
      <c r="B122" s="9">
        <f>IF(A122&gt;$B$7,"",F121)</f>
        <v/>
      </c>
      <c r="C122" s="9">
        <f>IF(A122&gt;$B$7,"",IF(A122=$B$7,B122+D122,$B$11))</f>
        <v/>
      </c>
      <c r="D122" s="9">
        <f>IF(A122&gt;$B$7,"",ROUND(B122*$B$10,2))</f>
        <v/>
      </c>
      <c r="E122" s="9">
        <f>IF(A122&gt;$B$7,"",C122-D122)</f>
        <v/>
      </c>
      <c r="F122" s="9">
        <f>IF(A122&gt;$B$7,"",B122-E122)</f>
        <v/>
      </c>
    </row>
    <row r="123">
      <c r="A123" s="12" t="n">
        <v>104</v>
      </c>
      <c r="B123" s="9">
        <f>IF(A123&gt;$B$7,"",F122)</f>
        <v/>
      </c>
      <c r="C123" s="9">
        <f>IF(A123&gt;$B$7,"",IF(A123=$B$7,B123+D123,$B$11))</f>
        <v/>
      </c>
      <c r="D123" s="9">
        <f>IF(A123&gt;$B$7,"",ROUND(B123*$B$10,2))</f>
        <v/>
      </c>
      <c r="E123" s="9">
        <f>IF(A123&gt;$B$7,"",C123-D123)</f>
        <v/>
      </c>
      <c r="F123" s="9">
        <f>IF(A123&gt;$B$7,"",B123-E123)</f>
        <v/>
      </c>
    </row>
    <row r="124">
      <c r="A124" s="12" t="n">
        <v>105</v>
      </c>
      <c r="B124" s="9">
        <f>IF(A124&gt;$B$7,"",F123)</f>
        <v/>
      </c>
      <c r="C124" s="9">
        <f>IF(A124&gt;$B$7,"",IF(A124=$B$7,B124+D124,$B$11))</f>
        <v/>
      </c>
      <c r="D124" s="9">
        <f>IF(A124&gt;$B$7,"",ROUND(B124*$B$10,2))</f>
        <v/>
      </c>
      <c r="E124" s="9">
        <f>IF(A124&gt;$B$7,"",C124-D124)</f>
        <v/>
      </c>
      <c r="F124" s="9">
        <f>IF(A124&gt;$B$7,"",B124-E124)</f>
        <v/>
      </c>
    </row>
    <row r="125">
      <c r="A125" s="12" t="n">
        <v>106</v>
      </c>
      <c r="B125" s="9">
        <f>IF(A125&gt;$B$7,"",F124)</f>
        <v/>
      </c>
      <c r="C125" s="9">
        <f>IF(A125&gt;$B$7,"",IF(A125=$B$7,B125+D125,$B$11))</f>
        <v/>
      </c>
      <c r="D125" s="9">
        <f>IF(A125&gt;$B$7,"",ROUND(B125*$B$10,2))</f>
        <v/>
      </c>
      <c r="E125" s="9">
        <f>IF(A125&gt;$B$7,"",C125-D125)</f>
        <v/>
      </c>
      <c r="F125" s="9">
        <f>IF(A125&gt;$B$7,"",B125-E125)</f>
        <v/>
      </c>
    </row>
    <row r="126">
      <c r="A126" s="12" t="n">
        <v>107</v>
      </c>
      <c r="B126" s="9">
        <f>IF(A126&gt;$B$7,"",F125)</f>
        <v/>
      </c>
      <c r="C126" s="9">
        <f>IF(A126&gt;$B$7,"",IF(A126=$B$7,B126+D126,$B$11))</f>
        <v/>
      </c>
      <c r="D126" s="9">
        <f>IF(A126&gt;$B$7,"",ROUND(B126*$B$10,2))</f>
        <v/>
      </c>
      <c r="E126" s="9">
        <f>IF(A126&gt;$B$7,"",C126-D126)</f>
        <v/>
      </c>
      <c r="F126" s="9">
        <f>IF(A126&gt;$B$7,"",B126-E126)</f>
        <v/>
      </c>
    </row>
    <row r="127">
      <c r="A127" s="12" t="n">
        <v>108</v>
      </c>
      <c r="B127" s="9">
        <f>IF(A127&gt;$B$7,"",F126)</f>
        <v/>
      </c>
      <c r="C127" s="9">
        <f>IF(A127&gt;$B$7,"",IF(A127=$B$7,B127+D127,$B$11))</f>
        <v/>
      </c>
      <c r="D127" s="9">
        <f>IF(A127&gt;$B$7,"",ROUND(B127*$B$10,2))</f>
        <v/>
      </c>
      <c r="E127" s="9">
        <f>IF(A127&gt;$B$7,"",C127-D127)</f>
        <v/>
      </c>
      <c r="F127" s="9">
        <f>IF(A127&gt;$B$7,"",B127-E127)</f>
        <v/>
      </c>
    </row>
    <row r="128">
      <c r="A128" s="12" t="n">
        <v>109</v>
      </c>
      <c r="B128" s="9">
        <f>IF(A128&gt;$B$7,"",F127)</f>
        <v/>
      </c>
      <c r="C128" s="9">
        <f>IF(A128&gt;$B$7,"",IF(A128=$B$7,B128+D128,$B$11))</f>
        <v/>
      </c>
      <c r="D128" s="9">
        <f>IF(A128&gt;$B$7,"",ROUND(B128*$B$10,2))</f>
        <v/>
      </c>
      <c r="E128" s="9">
        <f>IF(A128&gt;$B$7,"",C128-D128)</f>
        <v/>
      </c>
      <c r="F128" s="9">
        <f>IF(A128&gt;$B$7,"",B128-E128)</f>
        <v/>
      </c>
    </row>
    <row r="129">
      <c r="A129" s="12" t="n">
        <v>110</v>
      </c>
      <c r="B129" s="9">
        <f>IF(A129&gt;$B$7,"",F128)</f>
        <v/>
      </c>
      <c r="C129" s="9">
        <f>IF(A129&gt;$B$7,"",IF(A129=$B$7,B129+D129,$B$11))</f>
        <v/>
      </c>
      <c r="D129" s="9">
        <f>IF(A129&gt;$B$7,"",ROUND(B129*$B$10,2))</f>
        <v/>
      </c>
      <c r="E129" s="9">
        <f>IF(A129&gt;$B$7,"",C129-D129)</f>
        <v/>
      </c>
      <c r="F129" s="9">
        <f>IF(A129&gt;$B$7,"",B129-E129)</f>
        <v/>
      </c>
    </row>
    <row r="130">
      <c r="A130" s="12" t="n">
        <v>111</v>
      </c>
      <c r="B130" s="9">
        <f>IF(A130&gt;$B$7,"",F129)</f>
        <v/>
      </c>
      <c r="C130" s="9">
        <f>IF(A130&gt;$B$7,"",IF(A130=$B$7,B130+D130,$B$11))</f>
        <v/>
      </c>
      <c r="D130" s="9">
        <f>IF(A130&gt;$B$7,"",ROUND(B130*$B$10,2))</f>
        <v/>
      </c>
      <c r="E130" s="9">
        <f>IF(A130&gt;$B$7,"",C130-D130)</f>
        <v/>
      </c>
      <c r="F130" s="9">
        <f>IF(A130&gt;$B$7,"",B130-E130)</f>
        <v/>
      </c>
    </row>
    <row r="131">
      <c r="A131" s="12" t="n">
        <v>112</v>
      </c>
      <c r="B131" s="9">
        <f>IF(A131&gt;$B$7,"",F130)</f>
        <v/>
      </c>
      <c r="C131" s="9">
        <f>IF(A131&gt;$B$7,"",IF(A131=$B$7,B131+D131,$B$11))</f>
        <v/>
      </c>
      <c r="D131" s="9">
        <f>IF(A131&gt;$B$7,"",ROUND(B131*$B$10,2))</f>
        <v/>
      </c>
      <c r="E131" s="9">
        <f>IF(A131&gt;$B$7,"",C131-D131)</f>
        <v/>
      </c>
      <c r="F131" s="9">
        <f>IF(A131&gt;$B$7,"",B131-E131)</f>
        <v/>
      </c>
    </row>
    <row r="132">
      <c r="A132" s="12" t="n">
        <v>113</v>
      </c>
      <c r="B132" s="9">
        <f>IF(A132&gt;$B$7,"",F131)</f>
        <v/>
      </c>
      <c r="C132" s="9">
        <f>IF(A132&gt;$B$7,"",IF(A132=$B$7,B132+D132,$B$11))</f>
        <v/>
      </c>
      <c r="D132" s="9">
        <f>IF(A132&gt;$B$7,"",ROUND(B132*$B$10,2))</f>
        <v/>
      </c>
      <c r="E132" s="9">
        <f>IF(A132&gt;$B$7,"",C132-D132)</f>
        <v/>
      </c>
      <c r="F132" s="9">
        <f>IF(A132&gt;$B$7,"",B132-E132)</f>
        <v/>
      </c>
    </row>
    <row r="133">
      <c r="A133" s="12" t="n">
        <v>114</v>
      </c>
      <c r="B133" s="9">
        <f>IF(A133&gt;$B$7,"",F132)</f>
        <v/>
      </c>
      <c r="C133" s="9">
        <f>IF(A133&gt;$B$7,"",IF(A133=$B$7,B133+D133,$B$11))</f>
        <v/>
      </c>
      <c r="D133" s="9">
        <f>IF(A133&gt;$B$7,"",ROUND(B133*$B$10,2))</f>
        <v/>
      </c>
      <c r="E133" s="9">
        <f>IF(A133&gt;$B$7,"",C133-D133)</f>
        <v/>
      </c>
      <c r="F133" s="9">
        <f>IF(A133&gt;$B$7,"",B133-E133)</f>
        <v/>
      </c>
    </row>
    <row r="134">
      <c r="A134" s="12" t="n">
        <v>115</v>
      </c>
      <c r="B134" s="9">
        <f>IF(A134&gt;$B$7,"",F133)</f>
        <v/>
      </c>
      <c r="C134" s="9">
        <f>IF(A134&gt;$B$7,"",IF(A134=$B$7,B134+D134,$B$11))</f>
        <v/>
      </c>
      <c r="D134" s="9">
        <f>IF(A134&gt;$B$7,"",ROUND(B134*$B$10,2))</f>
        <v/>
      </c>
      <c r="E134" s="9">
        <f>IF(A134&gt;$B$7,"",C134-D134)</f>
        <v/>
      </c>
      <c r="F134" s="9">
        <f>IF(A134&gt;$B$7,"",B134-E134)</f>
        <v/>
      </c>
    </row>
    <row r="135">
      <c r="A135" s="12" t="n">
        <v>116</v>
      </c>
      <c r="B135" s="9">
        <f>IF(A135&gt;$B$7,"",F134)</f>
        <v/>
      </c>
      <c r="C135" s="9">
        <f>IF(A135&gt;$B$7,"",IF(A135=$B$7,B135+D135,$B$11))</f>
        <v/>
      </c>
      <c r="D135" s="9">
        <f>IF(A135&gt;$B$7,"",ROUND(B135*$B$10,2))</f>
        <v/>
      </c>
      <c r="E135" s="9">
        <f>IF(A135&gt;$B$7,"",C135-D135)</f>
        <v/>
      </c>
      <c r="F135" s="9">
        <f>IF(A135&gt;$B$7,"",B135-E135)</f>
        <v/>
      </c>
    </row>
    <row r="136">
      <c r="A136" s="12" t="n">
        <v>117</v>
      </c>
      <c r="B136" s="9">
        <f>IF(A136&gt;$B$7,"",F135)</f>
        <v/>
      </c>
      <c r="C136" s="9">
        <f>IF(A136&gt;$B$7,"",IF(A136=$B$7,B136+D136,$B$11))</f>
        <v/>
      </c>
      <c r="D136" s="9">
        <f>IF(A136&gt;$B$7,"",ROUND(B136*$B$10,2))</f>
        <v/>
      </c>
      <c r="E136" s="9">
        <f>IF(A136&gt;$B$7,"",C136-D136)</f>
        <v/>
      </c>
      <c r="F136" s="9">
        <f>IF(A136&gt;$B$7,"",B136-E136)</f>
        <v/>
      </c>
    </row>
    <row r="137">
      <c r="A137" s="12" t="n">
        <v>118</v>
      </c>
      <c r="B137" s="9">
        <f>IF(A137&gt;$B$7,"",F136)</f>
        <v/>
      </c>
      <c r="C137" s="9">
        <f>IF(A137&gt;$B$7,"",IF(A137=$B$7,B137+D137,$B$11))</f>
        <v/>
      </c>
      <c r="D137" s="9">
        <f>IF(A137&gt;$B$7,"",ROUND(B137*$B$10,2))</f>
        <v/>
      </c>
      <c r="E137" s="9">
        <f>IF(A137&gt;$B$7,"",C137-D137)</f>
        <v/>
      </c>
      <c r="F137" s="9">
        <f>IF(A137&gt;$B$7,"",B137-E137)</f>
        <v/>
      </c>
    </row>
    <row r="138">
      <c r="A138" s="12" t="n">
        <v>119</v>
      </c>
      <c r="B138" s="9">
        <f>IF(A138&gt;$B$7,"",F137)</f>
        <v/>
      </c>
      <c r="C138" s="9">
        <f>IF(A138&gt;$B$7,"",IF(A138=$B$7,B138+D138,$B$11))</f>
        <v/>
      </c>
      <c r="D138" s="9">
        <f>IF(A138&gt;$B$7,"",ROUND(B138*$B$10,2))</f>
        <v/>
      </c>
      <c r="E138" s="9">
        <f>IF(A138&gt;$B$7,"",C138-D138)</f>
        <v/>
      </c>
      <c r="F138" s="9">
        <f>IF(A138&gt;$B$7,"",B138-E138)</f>
        <v/>
      </c>
    </row>
    <row r="139">
      <c r="A139" s="12" t="n">
        <v>120</v>
      </c>
      <c r="B139" s="9">
        <f>IF(A139&gt;$B$7,"",F138)</f>
        <v/>
      </c>
      <c r="C139" s="9">
        <f>IF(A139&gt;$B$7,"",IF(A139=$B$7,B139+D139,$B$11))</f>
        <v/>
      </c>
      <c r="D139" s="9">
        <f>IF(A139&gt;$B$7,"",ROUND(B139*$B$10,2))</f>
        <v/>
      </c>
      <c r="E139" s="9">
        <f>IF(A139&gt;$B$7,"",C139-D139)</f>
        <v/>
      </c>
      <c r="F139" s="9">
        <f>IF(A139&gt;$B$7,"",B139-E139)</f>
        <v/>
      </c>
    </row>
    <row r="140">
      <c r="A140" s="12" t="n">
        <v>121</v>
      </c>
      <c r="B140" s="9">
        <f>IF(A140&gt;$B$7,"",F139)</f>
        <v/>
      </c>
      <c r="C140" s="9">
        <f>IF(A140&gt;$B$7,"",IF(A140=$B$7,B140+D140,$B$11))</f>
        <v/>
      </c>
      <c r="D140" s="9">
        <f>IF(A140&gt;$B$7,"",ROUND(B140*$B$10,2))</f>
        <v/>
      </c>
      <c r="E140" s="9">
        <f>IF(A140&gt;$B$7,"",C140-D140)</f>
        <v/>
      </c>
      <c r="F140" s="9">
        <f>IF(A140&gt;$B$7,"",B140-E140)</f>
        <v/>
      </c>
    </row>
    <row r="141">
      <c r="A141" s="12" t="n">
        <v>122</v>
      </c>
      <c r="B141" s="9">
        <f>IF(A141&gt;$B$7,"",F140)</f>
        <v/>
      </c>
      <c r="C141" s="9">
        <f>IF(A141&gt;$B$7,"",IF(A141=$B$7,B141+D141,$B$11))</f>
        <v/>
      </c>
      <c r="D141" s="9">
        <f>IF(A141&gt;$B$7,"",ROUND(B141*$B$10,2))</f>
        <v/>
      </c>
      <c r="E141" s="9">
        <f>IF(A141&gt;$B$7,"",C141-D141)</f>
        <v/>
      </c>
      <c r="F141" s="9">
        <f>IF(A141&gt;$B$7,"",B141-E141)</f>
        <v/>
      </c>
    </row>
    <row r="142">
      <c r="A142" s="12" t="n">
        <v>123</v>
      </c>
      <c r="B142" s="9">
        <f>IF(A142&gt;$B$7,"",F141)</f>
        <v/>
      </c>
      <c r="C142" s="9">
        <f>IF(A142&gt;$B$7,"",IF(A142=$B$7,B142+D142,$B$11))</f>
        <v/>
      </c>
      <c r="D142" s="9">
        <f>IF(A142&gt;$B$7,"",ROUND(B142*$B$10,2))</f>
        <v/>
      </c>
      <c r="E142" s="9">
        <f>IF(A142&gt;$B$7,"",C142-D142)</f>
        <v/>
      </c>
      <c r="F142" s="9">
        <f>IF(A142&gt;$B$7,"",B142-E142)</f>
        <v/>
      </c>
    </row>
    <row r="143">
      <c r="A143" s="12" t="n">
        <v>124</v>
      </c>
      <c r="B143" s="9">
        <f>IF(A143&gt;$B$7,"",F142)</f>
        <v/>
      </c>
      <c r="C143" s="9">
        <f>IF(A143&gt;$B$7,"",IF(A143=$B$7,B143+D143,$B$11))</f>
        <v/>
      </c>
      <c r="D143" s="9">
        <f>IF(A143&gt;$B$7,"",ROUND(B143*$B$10,2))</f>
        <v/>
      </c>
      <c r="E143" s="9">
        <f>IF(A143&gt;$B$7,"",C143-D143)</f>
        <v/>
      </c>
      <c r="F143" s="9">
        <f>IF(A143&gt;$B$7,"",B143-E143)</f>
        <v/>
      </c>
    </row>
    <row r="144">
      <c r="A144" s="12" t="n">
        <v>125</v>
      </c>
      <c r="B144" s="9">
        <f>IF(A144&gt;$B$7,"",F143)</f>
        <v/>
      </c>
      <c r="C144" s="9">
        <f>IF(A144&gt;$B$7,"",IF(A144=$B$7,B144+D144,$B$11))</f>
        <v/>
      </c>
      <c r="D144" s="9">
        <f>IF(A144&gt;$B$7,"",ROUND(B144*$B$10,2))</f>
        <v/>
      </c>
      <c r="E144" s="9">
        <f>IF(A144&gt;$B$7,"",C144-D144)</f>
        <v/>
      </c>
      <c r="F144" s="9">
        <f>IF(A144&gt;$B$7,"",B144-E144)</f>
        <v/>
      </c>
    </row>
    <row r="145">
      <c r="A145" s="12" t="n">
        <v>126</v>
      </c>
      <c r="B145" s="9">
        <f>IF(A145&gt;$B$7,"",F144)</f>
        <v/>
      </c>
      <c r="C145" s="9">
        <f>IF(A145&gt;$B$7,"",IF(A145=$B$7,B145+D145,$B$11))</f>
        <v/>
      </c>
      <c r="D145" s="9">
        <f>IF(A145&gt;$B$7,"",ROUND(B145*$B$10,2))</f>
        <v/>
      </c>
      <c r="E145" s="9">
        <f>IF(A145&gt;$B$7,"",C145-D145)</f>
        <v/>
      </c>
      <c r="F145" s="9">
        <f>IF(A145&gt;$B$7,"",B145-E145)</f>
        <v/>
      </c>
    </row>
    <row r="146">
      <c r="A146" s="12" t="n">
        <v>127</v>
      </c>
      <c r="B146" s="9">
        <f>IF(A146&gt;$B$7,"",F145)</f>
        <v/>
      </c>
      <c r="C146" s="9">
        <f>IF(A146&gt;$B$7,"",IF(A146=$B$7,B146+D146,$B$11))</f>
        <v/>
      </c>
      <c r="D146" s="9">
        <f>IF(A146&gt;$B$7,"",ROUND(B146*$B$10,2))</f>
        <v/>
      </c>
      <c r="E146" s="9">
        <f>IF(A146&gt;$B$7,"",C146-D146)</f>
        <v/>
      </c>
      <c r="F146" s="9">
        <f>IF(A146&gt;$B$7,"",B146-E146)</f>
        <v/>
      </c>
    </row>
    <row r="147">
      <c r="A147" s="12" t="n">
        <v>128</v>
      </c>
      <c r="B147" s="9">
        <f>IF(A147&gt;$B$7,"",F146)</f>
        <v/>
      </c>
      <c r="C147" s="9">
        <f>IF(A147&gt;$B$7,"",IF(A147=$B$7,B147+D147,$B$11))</f>
        <v/>
      </c>
      <c r="D147" s="9">
        <f>IF(A147&gt;$B$7,"",ROUND(B147*$B$10,2))</f>
        <v/>
      </c>
      <c r="E147" s="9">
        <f>IF(A147&gt;$B$7,"",C147-D147)</f>
        <v/>
      </c>
      <c r="F147" s="9">
        <f>IF(A147&gt;$B$7,"",B147-E147)</f>
        <v/>
      </c>
    </row>
    <row r="148">
      <c r="A148" s="12" t="n">
        <v>129</v>
      </c>
      <c r="B148" s="9">
        <f>IF(A148&gt;$B$7,"",F147)</f>
        <v/>
      </c>
      <c r="C148" s="9">
        <f>IF(A148&gt;$B$7,"",IF(A148=$B$7,B148+D148,$B$11))</f>
        <v/>
      </c>
      <c r="D148" s="9">
        <f>IF(A148&gt;$B$7,"",ROUND(B148*$B$10,2))</f>
        <v/>
      </c>
      <c r="E148" s="9">
        <f>IF(A148&gt;$B$7,"",C148-D148)</f>
        <v/>
      </c>
      <c r="F148" s="9">
        <f>IF(A148&gt;$B$7,"",B148-E148)</f>
        <v/>
      </c>
    </row>
    <row r="149">
      <c r="A149" s="12" t="n">
        <v>130</v>
      </c>
      <c r="B149" s="9">
        <f>IF(A149&gt;$B$7,"",F148)</f>
        <v/>
      </c>
      <c r="C149" s="9">
        <f>IF(A149&gt;$B$7,"",IF(A149=$B$7,B149+D149,$B$11))</f>
        <v/>
      </c>
      <c r="D149" s="9">
        <f>IF(A149&gt;$B$7,"",ROUND(B149*$B$10,2))</f>
        <v/>
      </c>
      <c r="E149" s="9">
        <f>IF(A149&gt;$B$7,"",C149-D149)</f>
        <v/>
      </c>
      <c r="F149" s="9">
        <f>IF(A149&gt;$B$7,"",B149-E149)</f>
        <v/>
      </c>
    </row>
    <row r="150">
      <c r="A150" s="12" t="n">
        <v>131</v>
      </c>
      <c r="B150" s="9">
        <f>IF(A150&gt;$B$7,"",F149)</f>
        <v/>
      </c>
      <c r="C150" s="9">
        <f>IF(A150&gt;$B$7,"",IF(A150=$B$7,B150+D150,$B$11))</f>
        <v/>
      </c>
      <c r="D150" s="9">
        <f>IF(A150&gt;$B$7,"",ROUND(B150*$B$10,2))</f>
        <v/>
      </c>
      <c r="E150" s="9">
        <f>IF(A150&gt;$B$7,"",C150-D150)</f>
        <v/>
      </c>
      <c r="F150" s="9">
        <f>IF(A150&gt;$B$7,"",B150-E150)</f>
        <v/>
      </c>
    </row>
    <row r="151">
      <c r="A151" s="12" t="n">
        <v>132</v>
      </c>
      <c r="B151" s="9">
        <f>IF(A151&gt;$B$7,"",F150)</f>
        <v/>
      </c>
      <c r="C151" s="9">
        <f>IF(A151&gt;$B$7,"",IF(A151=$B$7,B151+D151,$B$11))</f>
        <v/>
      </c>
      <c r="D151" s="9">
        <f>IF(A151&gt;$B$7,"",ROUND(B151*$B$10,2))</f>
        <v/>
      </c>
      <c r="E151" s="9">
        <f>IF(A151&gt;$B$7,"",C151-D151)</f>
        <v/>
      </c>
      <c r="F151" s="9">
        <f>IF(A151&gt;$B$7,"",B151-E151)</f>
        <v/>
      </c>
    </row>
    <row r="152">
      <c r="A152" s="12" t="n">
        <v>133</v>
      </c>
      <c r="B152" s="9">
        <f>IF(A152&gt;$B$7,"",F151)</f>
        <v/>
      </c>
      <c r="C152" s="9">
        <f>IF(A152&gt;$B$7,"",IF(A152=$B$7,B152+D152,$B$11))</f>
        <v/>
      </c>
      <c r="D152" s="9">
        <f>IF(A152&gt;$B$7,"",ROUND(B152*$B$10,2))</f>
        <v/>
      </c>
      <c r="E152" s="9">
        <f>IF(A152&gt;$B$7,"",C152-D152)</f>
        <v/>
      </c>
      <c r="F152" s="9">
        <f>IF(A152&gt;$B$7,"",B152-E152)</f>
        <v/>
      </c>
    </row>
    <row r="153">
      <c r="A153" s="12" t="n">
        <v>134</v>
      </c>
      <c r="B153" s="9">
        <f>IF(A153&gt;$B$7,"",F152)</f>
        <v/>
      </c>
      <c r="C153" s="9">
        <f>IF(A153&gt;$B$7,"",IF(A153=$B$7,B153+D153,$B$11))</f>
        <v/>
      </c>
      <c r="D153" s="9">
        <f>IF(A153&gt;$B$7,"",ROUND(B153*$B$10,2))</f>
        <v/>
      </c>
      <c r="E153" s="9">
        <f>IF(A153&gt;$B$7,"",C153-D153)</f>
        <v/>
      </c>
      <c r="F153" s="9">
        <f>IF(A153&gt;$B$7,"",B153-E153)</f>
        <v/>
      </c>
    </row>
    <row r="154">
      <c r="A154" s="12" t="n">
        <v>135</v>
      </c>
      <c r="B154" s="9">
        <f>IF(A154&gt;$B$7,"",F153)</f>
        <v/>
      </c>
      <c r="C154" s="9">
        <f>IF(A154&gt;$B$7,"",IF(A154=$B$7,B154+D154,$B$11))</f>
        <v/>
      </c>
      <c r="D154" s="9">
        <f>IF(A154&gt;$B$7,"",ROUND(B154*$B$10,2))</f>
        <v/>
      </c>
      <c r="E154" s="9">
        <f>IF(A154&gt;$B$7,"",C154-D154)</f>
        <v/>
      </c>
      <c r="F154" s="9">
        <f>IF(A154&gt;$B$7,"",B154-E154)</f>
        <v/>
      </c>
    </row>
    <row r="155">
      <c r="A155" s="12" t="n">
        <v>136</v>
      </c>
      <c r="B155" s="9">
        <f>IF(A155&gt;$B$7,"",F154)</f>
        <v/>
      </c>
      <c r="C155" s="9">
        <f>IF(A155&gt;$B$7,"",IF(A155=$B$7,B155+D155,$B$11))</f>
        <v/>
      </c>
      <c r="D155" s="9">
        <f>IF(A155&gt;$B$7,"",ROUND(B155*$B$10,2))</f>
        <v/>
      </c>
      <c r="E155" s="9">
        <f>IF(A155&gt;$B$7,"",C155-D155)</f>
        <v/>
      </c>
      <c r="F155" s="9">
        <f>IF(A155&gt;$B$7,"",B155-E155)</f>
        <v/>
      </c>
    </row>
    <row r="156">
      <c r="A156" s="12" t="n">
        <v>137</v>
      </c>
      <c r="B156" s="9">
        <f>IF(A156&gt;$B$7,"",F155)</f>
        <v/>
      </c>
      <c r="C156" s="9">
        <f>IF(A156&gt;$B$7,"",IF(A156=$B$7,B156+D156,$B$11))</f>
        <v/>
      </c>
      <c r="D156" s="9">
        <f>IF(A156&gt;$B$7,"",ROUND(B156*$B$10,2))</f>
        <v/>
      </c>
      <c r="E156" s="9">
        <f>IF(A156&gt;$B$7,"",C156-D156)</f>
        <v/>
      </c>
      <c r="F156" s="9">
        <f>IF(A156&gt;$B$7,"",B156-E156)</f>
        <v/>
      </c>
    </row>
    <row r="157">
      <c r="A157" s="12" t="n">
        <v>138</v>
      </c>
      <c r="B157" s="9">
        <f>IF(A157&gt;$B$7,"",F156)</f>
        <v/>
      </c>
      <c r="C157" s="9">
        <f>IF(A157&gt;$B$7,"",IF(A157=$B$7,B157+D157,$B$11))</f>
        <v/>
      </c>
      <c r="D157" s="9">
        <f>IF(A157&gt;$B$7,"",ROUND(B157*$B$10,2))</f>
        <v/>
      </c>
      <c r="E157" s="9">
        <f>IF(A157&gt;$B$7,"",C157-D157)</f>
        <v/>
      </c>
      <c r="F157" s="9">
        <f>IF(A157&gt;$B$7,"",B157-E157)</f>
        <v/>
      </c>
    </row>
    <row r="158">
      <c r="A158" s="12" t="n">
        <v>139</v>
      </c>
      <c r="B158" s="9">
        <f>IF(A158&gt;$B$7,"",F157)</f>
        <v/>
      </c>
      <c r="C158" s="9">
        <f>IF(A158&gt;$B$7,"",IF(A158=$B$7,B158+D158,$B$11))</f>
        <v/>
      </c>
      <c r="D158" s="9">
        <f>IF(A158&gt;$B$7,"",ROUND(B158*$B$10,2))</f>
        <v/>
      </c>
      <c r="E158" s="9">
        <f>IF(A158&gt;$B$7,"",C158-D158)</f>
        <v/>
      </c>
      <c r="F158" s="9">
        <f>IF(A158&gt;$B$7,"",B158-E158)</f>
        <v/>
      </c>
    </row>
    <row r="159">
      <c r="A159" s="12" t="n">
        <v>140</v>
      </c>
      <c r="B159" s="9">
        <f>IF(A159&gt;$B$7,"",F158)</f>
        <v/>
      </c>
      <c r="C159" s="9">
        <f>IF(A159&gt;$B$7,"",IF(A159=$B$7,B159+D159,$B$11))</f>
        <v/>
      </c>
      <c r="D159" s="9">
        <f>IF(A159&gt;$B$7,"",ROUND(B159*$B$10,2))</f>
        <v/>
      </c>
      <c r="E159" s="9">
        <f>IF(A159&gt;$B$7,"",C159-D159)</f>
        <v/>
      </c>
      <c r="F159" s="9">
        <f>IF(A159&gt;$B$7,"",B159-E159)</f>
        <v/>
      </c>
    </row>
    <row r="160">
      <c r="A160" s="12" t="n">
        <v>141</v>
      </c>
      <c r="B160" s="9">
        <f>IF(A160&gt;$B$7,"",F159)</f>
        <v/>
      </c>
      <c r="C160" s="9">
        <f>IF(A160&gt;$B$7,"",IF(A160=$B$7,B160+D160,$B$11))</f>
        <v/>
      </c>
      <c r="D160" s="9">
        <f>IF(A160&gt;$B$7,"",ROUND(B160*$B$10,2))</f>
        <v/>
      </c>
      <c r="E160" s="9">
        <f>IF(A160&gt;$B$7,"",C160-D160)</f>
        <v/>
      </c>
      <c r="F160" s="9">
        <f>IF(A160&gt;$B$7,"",B160-E160)</f>
        <v/>
      </c>
    </row>
    <row r="161">
      <c r="A161" s="12" t="n">
        <v>142</v>
      </c>
      <c r="B161" s="9">
        <f>IF(A161&gt;$B$7,"",F160)</f>
        <v/>
      </c>
      <c r="C161" s="9">
        <f>IF(A161&gt;$B$7,"",IF(A161=$B$7,B161+D161,$B$11))</f>
        <v/>
      </c>
      <c r="D161" s="9">
        <f>IF(A161&gt;$B$7,"",ROUND(B161*$B$10,2))</f>
        <v/>
      </c>
      <c r="E161" s="9">
        <f>IF(A161&gt;$B$7,"",C161-D161)</f>
        <v/>
      </c>
      <c r="F161" s="9">
        <f>IF(A161&gt;$B$7,"",B161-E161)</f>
        <v/>
      </c>
    </row>
    <row r="162">
      <c r="A162" s="12" t="n">
        <v>143</v>
      </c>
      <c r="B162" s="9">
        <f>IF(A162&gt;$B$7,"",F161)</f>
        <v/>
      </c>
      <c r="C162" s="9">
        <f>IF(A162&gt;$B$7,"",IF(A162=$B$7,B162+D162,$B$11))</f>
        <v/>
      </c>
      <c r="D162" s="9">
        <f>IF(A162&gt;$B$7,"",ROUND(B162*$B$10,2))</f>
        <v/>
      </c>
      <c r="E162" s="9">
        <f>IF(A162&gt;$B$7,"",C162-D162)</f>
        <v/>
      </c>
      <c r="F162" s="9">
        <f>IF(A162&gt;$B$7,"",B162-E162)</f>
        <v/>
      </c>
    </row>
    <row r="163">
      <c r="A163" s="12" t="n">
        <v>144</v>
      </c>
      <c r="B163" s="9">
        <f>IF(A163&gt;$B$7,"",F162)</f>
        <v/>
      </c>
      <c r="C163" s="9">
        <f>IF(A163&gt;$B$7,"",IF(A163=$B$7,B163+D163,$B$11))</f>
        <v/>
      </c>
      <c r="D163" s="9">
        <f>IF(A163&gt;$B$7,"",ROUND(B163*$B$10,2))</f>
        <v/>
      </c>
      <c r="E163" s="9">
        <f>IF(A163&gt;$B$7,"",C163-D163)</f>
        <v/>
      </c>
      <c r="F163" s="9">
        <f>IF(A163&gt;$B$7,"",B163-E163)</f>
        <v/>
      </c>
    </row>
    <row r="164">
      <c r="A164" s="12" t="n">
        <v>145</v>
      </c>
      <c r="B164" s="9">
        <f>IF(A164&gt;$B$7,"",F163)</f>
        <v/>
      </c>
      <c r="C164" s="9">
        <f>IF(A164&gt;$B$7,"",IF(A164=$B$7,B164+D164,$B$11))</f>
        <v/>
      </c>
      <c r="D164" s="9">
        <f>IF(A164&gt;$B$7,"",ROUND(B164*$B$10,2))</f>
        <v/>
      </c>
      <c r="E164" s="9">
        <f>IF(A164&gt;$B$7,"",C164-D164)</f>
        <v/>
      </c>
      <c r="F164" s="9">
        <f>IF(A164&gt;$B$7,"",B164-E164)</f>
        <v/>
      </c>
    </row>
    <row r="165">
      <c r="A165" s="12" t="n">
        <v>146</v>
      </c>
      <c r="B165" s="9">
        <f>IF(A165&gt;$B$7,"",F164)</f>
        <v/>
      </c>
      <c r="C165" s="9">
        <f>IF(A165&gt;$B$7,"",IF(A165=$B$7,B165+D165,$B$11))</f>
        <v/>
      </c>
      <c r="D165" s="9">
        <f>IF(A165&gt;$B$7,"",ROUND(B165*$B$10,2))</f>
        <v/>
      </c>
      <c r="E165" s="9">
        <f>IF(A165&gt;$B$7,"",C165-D165)</f>
        <v/>
      </c>
      <c r="F165" s="9">
        <f>IF(A165&gt;$B$7,"",B165-E165)</f>
        <v/>
      </c>
    </row>
    <row r="166">
      <c r="A166" s="12" t="n">
        <v>147</v>
      </c>
      <c r="B166" s="9">
        <f>IF(A166&gt;$B$7,"",F165)</f>
        <v/>
      </c>
      <c r="C166" s="9">
        <f>IF(A166&gt;$B$7,"",IF(A166=$B$7,B166+D166,$B$11))</f>
        <v/>
      </c>
      <c r="D166" s="9">
        <f>IF(A166&gt;$B$7,"",ROUND(B166*$B$10,2))</f>
        <v/>
      </c>
      <c r="E166" s="9">
        <f>IF(A166&gt;$B$7,"",C166-D166)</f>
        <v/>
      </c>
      <c r="F166" s="9">
        <f>IF(A166&gt;$B$7,"",B166-E166)</f>
        <v/>
      </c>
    </row>
    <row r="167">
      <c r="A167" s="12" t="n">
        <v>148</v>
      </c>
      <c r="B167" s="9">
        <f>IF(A167&gt;$B$7,"",F166)</f>
        <v/>
      </c>
      <c r="C167" s="9">
        <f>IF(A167&gt;$B$7,"",IF(A167=$B$7,B167+D167,$B$11))</f>
        <v/>
      </c>
      <c r="D167" s="9">
        <f>IF(A167&gt;$B$7,"",ROUND(B167*$B$10,2))</f>
        <v/>
      </c>
      <c r="E167" s="9">
        <f>IF(A167&gt;$B$7,"",C167-D167)</f>
        <v/>
      </c>
      <c r="F167" s="9">
        <f>IF(A167&gt;$B$7,"",B167-E167)</f>
        <v/>
      </c>
    </row>
    <row r="168">
      <c r="A168" s="12" t="n">
        <v>149</v>
      </c>
      <c r="B168" s="9">
        <f>IF(A168&gt;$B$7,"",F167)</f>
        <v/>
      </c>
      <c r="C168" s="9">
        <f>IF(A168&gt;$B$7,"",IF(A168=$B$7,B168+D168,$B$11))</f>
        <v/>
      </c>
      <c r="D168" s="9">
        <f>IF(A168&gt;$B$7,"",ROUND(B168*$B$10,2))</f>
        <v/>
      </c>
      <c r="E168" s="9">
        <f>IF(A168&gt;$B$7,"",C168-D168)</f>
        <v/>
      </c>
      <c r="F168" s="9">
        <f>IF(A168&gt;$B$7,"",B168-E168)</f>
        <v/>
      </c>
    </row>
    <row r="169">
      <c r="A169" s="12" t="n">
        <v>150</v>
      </c>
      <c r="B169" s="9">
        <f>IF(A169&gt;$B$7,"",F168)</f>
        <v/>
      </c>
      <c r="C169" s="9">
        <f>IF(A169&gt;$B$7,"",IF(A169=$B$7,B169+D169,$B$11))</f>
        <v/>
      </c>
      <c r="D169" s="9">
        <f>IF(A169&gt;$B$7,"",ROUND(B169*$B$10,2))</f>
        <v/>
      </c>
      <c r="E169" s="9">
        <f>IF(A169&gt;$B$7,"",C169-D169)</f>
        <v/>
      </c>
      <c r="F169" s="9">
        <f>IF(A169&gt;$B$7,"",B169-E169)</f>
        <v/>
      </c>
    </row>
    <row r="170">
      <c r="A170" s="12" t="n">
        <v>151</v>
      </c>
      <c r="B170" s="9">
        <f>IF(A170&gt;$B$7,"",F169)</f>
        <v/>
      </c>
      <c r="C170" s="9">
        <f>IF(A170&gt;$B$7,"",IF(A170=$B$7,B170+D170,$B$11))</f>
        <v/>
      </c>
      <c r="D170" s="9">
        <f>IF(A170&gt;$B$7,"",ROUND(B170*$B$10,2))</f>
        <v/>
      </c>
      <c r="E170" s="9">
        <f>IF(A170&gt;$B$7,"",C170-D170)</f>
        <v/>
      </c>
      <c r="F170" s="9">
        <f>IF(A170&gt;$B$7,"",B170-E170)</f>
        <v/>
      </c>
    </row>
    <row r="171">
      <c r="A171" s="12" t="n">
        <v>152</v>
      </c>
      <c r="B171" s="9">
        <f>IF(A171&gt;$B$7,"",F170)</f>
        <v/>
      </c>
      <c r="C171" s="9">
        <f>IF(A171&gt;$B$7,"",IF(A171=$B$7,B171+D171,$B$11))</f>
        <v/>
      </c>
      <c r="D171" s="9">
        <f>IF(A171&gt;$B$7,"",ROUND(B171*$B$10,2))</f>
        <v/>
      </c>
      <c r="E171" s="9">
        <f>IF(A171&gt;$B$7,"",C171-D171)</f>
        <v/>
      </c>
      <c r="F171" s="9">
        <f>IF(A171&gt;$B$7,"",B171-E171)</f>
        <v/>
      </c>
    </row>
    <row r="172">
      <c r="A172" s="12" t="n">
        <v>153</v>
      </c>
      <c r="B172" s="9">
        <f>IF(A172&gt;$B$7,"",F171)</f>
        <v/>
      </c>
      <c r="C172" s="9">
        <f>IF(A172&gt;$B$7,"",IF(A172=$B$7,B172+D172,$B$11))</f>
        <v/>
      </c>
      <c r="D172" s="9">
        <f>IF(A172&gt;$B$7,"",ROUND(B172*$B$10,2))</f>
        <v/>
      </c>
      <c r="E172" s="9">
        <f>IF(A172&gt;$B$7,"",C172-D172)</f>
        <v/>
      </c>
      <c r="F172" s="9">
        <f>IF(A172&gt;$B$7,"",B172-E172)</f>
        <v/>
      </c>
    </row>
    <row r="173">
      <c r="A173" s="12" t="n">
        <v>154</v>
      </c>
      <c r="B173" s="9">
        <f>IF(A173&gt;$B$7,"",F172)</f>
        <v/>
      </c>
      <c r="C173" s="9">
        <f>IF(A173&gt;$B$7,"",IF(A173=$B$7,B173+D173,$B$11))</f>
        <v/>
      </c>
      <c r="D173" s="9">
        <f>IF(A173&gt;$B$7,"",ROUND(B173*$B$10,2))</f>
        <v/>
      </c>
      <c r="E173" s="9">
        <f>IF(A173&gt;$B$7,"",C173-D173)</f>
        <v/>
      </c>
      <c r="F173" s="9">
        <f>IF(A173&gt;$B$7,"",B173-E173)</f>
        <v/>
      </c>
    </row>
    <row r="174">
      <c r="A174" s="12" t="n">
        <v>155</v>
      </c>
      <c r="B174" s="9">
        <f>IF(A174&gt;$B$7,"",F173)</f>
        <v/>
      </c>
      <c r="C174" s="9">
        <f>IF(A174&gt;$B$7,"",IF(A174=$B$7,B174+D174,$B$11))</f>
        <v/>
      </c>
      <c r="D174" s="9">
        <f>IF(A174&gt;$B$7,"",ROUND(B174*$B$10,2))</f>
        <v/>
      </c>
      <c r="E174" s="9">
        <f>IF(A174&gt;$B$7,"",C174-D174)</f>
        <v/>
      </c>
      <c r="F174" s="9">
        <f>IF(A174&gt;$B$7,"",B174-E174)</f>
        <v/>
      </c>
    </row>
    <row r="175">
      <c r="A175" s="12" t="n">
        <v>156</v>
      </c>
      <c r="B175" s="9">
        <f>IF(A175&gt;$B$7,"",F174)</f>
        <v/>
      </c>
      <c r="C175" s="9">
        <f>IF(A175&gt;$B$7,"",IF(A175=$B$7,B175+D175,$B$11))</f>
        <v/>
      </c>
      <c r="D175" s="9">
        <f>IF(A175&gt;$B$7,"",ROUND(B175*$B$10,2))</f>
        <v/>
      </c>
      <c r="E175" s="9">
        <f>IF(A175&gt;$B$7,"",C175-D175)</f>
        <v/>
      </c>
      <c r="F175" s="9">
        <f>IF(A175&gt;$B$7,"",B175-E175)</f>
        <v/>
      </c>
    </row>
    <row r="176">
      <c r="A176" s="12" t="n">
        <v>157</v>
      </c>
      <c r="B176" s="9">
        <f>IF(A176&gt;$B$7,"",F175)</f>
        <v/>
      </c>
      <c r="C176" s="9">
        <f>IF(A176&gt;$B$7,"",IF(A176=$B$7,B176+D176,$B$11))</f>
        <v/>
      </c>
      <c r="D176" s="9">
        <f>IF(A176&gt;$B$7,"",ROUND(B176*$B$10,2))</f>
        <v/>
      </c>
      <c r="E176" s="9">
        <f>IF(A176&gt;$B$7,"",C176-D176)</f>
        <v/>
      </c>
      <c r="F176" s="9">
        <f>IF(A176&gt;$B$7,"",B176-E176)</f>
        <v/>
      </c>
    </row>
    <row r="177">
      <c r="A177" s="12" t="n">
        <v>158</v>
      </c>
      <c r="B177" s="9">
        <f>IF(A177&gt;$B$7,"",F176)</f>
        <v/>
      </c>
      <c r="C177" s="9">
        <f>IF(A177&gt;$B$7,"",IF(A177=$B$7,B177+D177,$B$11))</f>
        <v/>
      </c>
      <c r="D177" s="9">
        <f>IF(A177&gt;$B$7,"",ROUND(B177*$B$10,2))</f>
        <v/>
      </c>
      <c r="E177" s="9">
        <f>IF(A177&gt;$B$7,"",C177-D177)</f>
        <v/>
      </c>
      <c r="F177" s="9">
        <f>IF(A177&gt;$B$7,"",B177-E177)</f>
        <v/>
      </c>
    </row>
    <row r="178">
      <c r="A178" s="12" t="n">
        <v>159</v>
      </c>
      <c r="B178" s="9">
        <f>IF(A178&gt;$B$7,"",F177)</f>
        <v/>
      </c>
      <c r="C178" s="9">
        <f>IF(A178&gt;$B$7,"",IF(A178=$B$7,B178+D178,$B$11))</f>
        <v/>
      </c>
      <c r="D178" s="9">
        <f>IF(A178&gt;$B$7,"",ROUND(B178*$B$10,2))</f>
        <v/>
      </c>
      <c r="E178" s="9">
        <f>IF(A178&gt;$B$7,"",C178-D178)</f>
        <v/>
      </c>
      <c r="F178" s="9">
        <f>IF(A178&gt;$B$7,"",B178-E178)</f>
        <v/>
      </c>
    </row>
    <row r="179">
      <c r="A179" s="12" t="n">
        <v>160</v>
      </c>
      <c r="B179" s="9">
        <f>IF(A179&gt;$B$7,"",F178)</f>
        <v/>
      </c>
      <c r="C179" s="9">
        <f>IF(A179&gt;$B$7,"",IF(A179=$B$7,B179+D179,$B$11))</f>
        <v/>
      </c>
      <c r="D179" s="9">
        <f>IF(A179&gt;$B$7,"",ROUND(B179*$B$10,2))</f>
        <v/>
      </c>
      <c r="E179" s="9">
        <f>IF(A179&gt;$B$7,"",C179-D179)</f>
        <v/>
      </c>
      <c r="F179" s="9">
        <f>IF(A179&gt;$B$7,"",B179-E179)</f>
        <v/>
      </c>
    </row>
    <row r="180">
      <c r="A180" s="12" t="n">
        <v>161</v>
      </c>
      <c r="B180" s="9">
        <f>IF(A180&gt;$B$7,"",F179)</f>
        <v/>
      </c>
      <c r="C180" s="9">
        <f>IF(A180&gt;$B$7,"",IF(A180=$B$7,B180+D180,$B$11))</f>
        <v/>
      </c>
      <c r="D180" s="9">
        <f>IF(A180&gt;$B$7,"",ROUND(B180*$B$10,2))</f>
        <v/>
      </c>
      <c r="E180" s="9">
        <f>IF(A180&gt;$B$7,"",C180-D180)</f>
        <v/>
      </c>
      <c r="F180" s="9">
        <f>IF(A180&gt;$B$7,"",B180-E180)</f>
        <v/>
      </c>
    </row>
    <row r="181">
      <c r="A181" s="12" t="n">
        <v>162</v>
      </c>
      <c r="B181" s="9">
        <f>IF(A181&gt;$B$7,"",F180)</f>
        <v/>
      </c>
      <c r="C181" s="9">
        <f>IF(A181&gt;$B$7,"",IF(A181=$B$7,B181+D181,$B$11))</f>
        <v/>
      </c>
      <c r="D181" s="9">
        <f>IF(A181&gt;$B$7,"",ROUND(B181*$B$10,2))</f>
        <v/>
      </c>
      <c r="E181" s="9">
        <f>IF(A181&gt;$B$7,"",C181-D181)</f>
        <v/>
      </c>
      <c r="F181" s="9">
        <f>IF(A181&gt;$B$7,"",B181-E181)</f>
        <v/>
      </c>
    </row>
    <row r="182">
      <c r="A182" s="12" t="n">
        <v>163</v>
      </c>
      <c r="B182" s="9">
        <f>IF(A182&gt;$B$7,"",F181)</f>
        <v/>
      </c>
      <c r="C182" s="9">
        <f>IF(A182&gt;$B$7,"",IF(A182=$B$7,B182+D182,$B$11))</f>
        <v/>
      </c>
      <c r="D182" s="9">
        <f>IF(A182&gt;$B$7,"",ROUND(B182*$B$10,2))</f>
        <v/>
      </c>
      <c r="E182" s="9">
        <f>IF(A182&gt;$B$7,"",C182-D182)</f>
        <v/>
      </c>
      <c r="F182" s="9">
        <f>IF(A182&gt;$B$7,"",B182-E182)</f>
        <v/>
      </c>
    </row>
    <row r="183">
      <c r="A183" s="12" t="n">
        <v>164</v>
      </c>
      <c r="B183" s="9">
        <f>IF(A183&gt;$B$7,"",F182)</f>
        <v/>
      </c>
      <c r="C183" s="9">
        <f>IF(A183&gt;$B$7,"",IF(A183=$B$7,B183+D183,$B$11))</f>
        <v/>
      </c>
      <c r="D183" s="9">
        <f>IF(A183&gt;$B$7,"",ROUND(B183*$B$10,2))</f>
        <v/>
      </c>
      <c r="E183" s="9">
        <f>IF(A183&gt;$B$7,"",C183-D183)</f>
        <v/>
      </c>
      <c r="F183" s="9">
        <f>IF(A183&gt;$B$7,"",B183-E183)</f>
        <v/>
      </c>
    </row>
    <row r="184">
      <c r="A184" s="12" t="n">
        <v>165</v>
      </c>
      <c r="B184" s="9">
        <f>IF(A184&gt;$B$7,"",F183)</f>
        <v/>
      </c>
      <c r="C184" s="9">
        <f>IF(A184&gt;$B$7,"",IF(A184=$B$7,B184+D184,$B$11))</f>
        <v/>
      </c>
      <c r="D184" s="9">
        <f>IF(A184&gt;$B$7,"",ROUND(B184*$B$10,2))</f>
        <v/>
      </c>
      <c r="E184" s="9">
        <f>IF(A184&gt;$B$7,"",C184-D184)</f>
        <v/>
      </c>
      <c r="F184" s="9">
        <f>IF(A184&gt;$B$7,"",B184-E184)</f>
        <v/>
      </c>
    </row>
    <row r="185">
      <c r="A185" s="12" t="n">
        <v>166</v>
      </c>
      <c r="B185" s="9">
        <f>IF(A185&gt;$B$7,"",F184)</f>
        <v/>
      </c>
      <c r="C185" s="9">
        <f>IF(A185&gt;$B$7,"",IF(A185=$B$7,B185+D185,$B$11))</f>
        <v/>
      </c>
      <c r="D185" s="9">
        <f>IF(A185&gt;$B$7,"",ROUND(B185*$B$10,2))</f>
        <v/>
      </c>
      <c r="E185" s="9">
        <f>IF(A185&gt;$B$7,"",C185-D185)</f>
        <v/>
      </c>
      <c r="F185" s="9">
        <f>IF(A185&gt;$B$7,"",B185-E185)</f>
        <v/>
      </c>
    </row>
    <row r="186">
      <c r="A186" s="12" t="n">
        <v>167</v>
      </c>
      <c r="B186" s="9">
        <f>IF(A186&gt;$B$7,"",F185)</f>
        <v/>
      </c>
      <c r="C186" s="9">
        <f>IF(A186&gt;$B$7,"",IF(A186=$B$7,B186+D186,$B$11))</f>
        <v/>
      </c>
      <c r="D186" s="9">
        <f>IF(A186&gt;$B$7,"",ROUND(B186*$B$10,2))</f>
        <v/>
      </c>
      <c r="E186" s="9">
        <f>IF(A186&gt;$B$7,"",C186-D186)</f>
        <v/>
      </c>
      <c r="F186" s="9">
        <f>IF(A186&gt;$B$7,"",B186-E186)</f>
        <v/>
      </c>
    </row>
    <row r="187">
      <c r="A187" s="12" t="n">
        <v>168</v>
      </c>
      <c r="B187" s="9">
        <f>IF(A187&gt;$B$7,"",F186)</f>
        <v/>
      </c>
      <c r="C187" s="9">
        <f>IF(A187&gt;$B$7,"",IF(A187=$B$7,B187+D187,$B$11))</f>
        <v/>
      </c>
      <c r="D187" s="9">
        <f>IF(A187&gt;$B$7,"",ROUND(B187*$B$10,2))</f>
        <v/>
      </c>
      <c r="E187" s="9">
        <f>IF(A187&gt;$B$7,"",C187-D187)</f>
        <v/>
      </c>
      <c r="F187" s="9">
        <f>IF(A187&gt;$B$7,"",B187-E187)</f>
        <v/>
      </c>
    </row>
    <row r="188">
      <c r="A188" s="12" t="n">
        <v>169</v>
      </c>
      <c r="B188" s="9">
        <f>IF(A188&gt;$B$7,"",F187)</f>
        <v/>
      </c>
      <c r="C188" s="9">
        <f>IF(A188&gt;$B$7,"",IF(A188=$B$7,B188+D188,$B$11))</f>
        <v/>
      </c>
      <c r="D188" s="9">
        <f>IF(A188&gt;$B$7,"",ROUND(B188*$B$10,2))</f>
        <v/>
      </c>
      <c r="E188" s="9">
        <f>IF(A188&gt;$B$7,"",C188-D188)</f>
        <v/>
      </c>
      <c r="F188" s="9">
        <f>IF(A188&gt;$B$7,"",B188-E188)</f>
        <v/>
      </c>
    </row>
    <row r="189">
      <c r="A189" s="12" t="n">
        <v>170</v>
      </c>
      <c r="B189" s="9">
        <f>IF(A189&gt;$B$7,"",F188)</f>
        <v/>
      </c>
      <c r="C189" s="9">
        <f>IF(A189&gt;$B$7,"",IF(A189=$B$7,B189+D189,$B$11))</f>
        <v/>
      </c>
      <c r="D189" s="9">
        <f>IF(A189&gt;$B$7,"",ROUND(B189*$B$10,2))</f>
        <v/>
      </c>
      <c r="E189" s="9">
        <f>IF(A189&gt;$B$7,"",C189-D189)</f>
        <v/>
      </c>
      <c r="F189" s="9">
        <f>IF(A189&gt;$B$7,"",B189-E189)</f>
        <v/>
      </c>
    </row>
    <row r="190">
      <c r="A190" s="12" t="n">
        <v>171</v>
      </c>
      <c r="B190" s="9">
        <f>IF(A190&gt;$B$7,"",F189)</f>
        <v/>
      </c>
      <c r="C190" s="9">
        <f>IF(A190&gt;$B$7,"",IF(A190=$B$7,B190+D190,$B$11))</f>
        <v/>
      </c>
      <c r="D190" s="9">
        <f>IF(A190&gt;$B$7,"",ROUND(B190*$B$10,2))</f>
        <v/>
      </c>
      <c r="E190" s="9">
        <f>IF(A190&gt;$B$7,"",C190-D190)</f>
        <v/>
      </c>
      <c r="F190" s="9">
        <f>IF(A190&gt;$B$7,"",B190-E190)</f>
        <v/>
      </c>
    </row>
    <row r="191">
      <c r="A191" s="12" t="n">
        <v>172</v>
      </c>
      <c r="B191" s="9">
        <f>IF(A191&gt;$B$7,"",F190)</f>
        <v/>
      </c>
      <c r="C191" s="9">
        <f>IF(A191&gt;$B$7,"",IF(A191=$B$7,B191+D191,$B$11))</f>
        <v/>
      </c>
      <c r="D191" s="9">
        <f>IF(A191&gt;$B$7,"",ROUND(B191*$B$10,2))</f>
        <v/>
      </c>
      <c r="E191" s="9">
        <f>IF(A191&gt;$B$7,"",C191-D191)</f>
        <v/>
      </c>
      <c r="F191" s="9">
        <f>IF(A191&gt;$B$7,"",B191-E191)</f>
        <v/>
      </c>
    </row>
    <row r="192">
      <c r="A192" s="12" t="n">
        <v>173</v>
      </c>
      <c r="B192" s="9">
        <f>IF(A192&gt;$B$7,"",F191)</f>
        <v/>
      </c>
      <c r="C192" s="9">
        <f>IF(A192&gt;$B$7,"",IF(A192=$B$7,B192+D192,$B$11))</f>
        <v/>
      </c>
      <c r="D192" s="9">
        <f>IF(A192&gt;$B$7,"",ROUND(B192*$B$10,2))</f>
        <v/>
      </c>
      <c r="E192" s="9">
        <f>IF(A192&gt;$B$7,"",C192-D192)</f>
        <v/>
      </c>
      <c r="F192" s="9">
        <f>IF(A192&gt;$B$7,"",B192-E192)</f>
        <v/>
      </c>
    </row>
    <row r="193">
      <c r="A193" s="12" t="n">
        <v>174</v>
      </c>
      <c r="B193" s="9">
        <f>IF(A193&gt;$B$7,"",F192)</f>
        <v/>
      </c>
      <c r="C193" s="9">
        <f>IF(A193&gt;$B$7,"",IF(A193=$B$7,B193+D193,$B$11))</f>
        <v/>
      </c>
      <c r="D193" s="9">
        <f>IF(A193&gt;$B$7,"",ROUND(B193*$B$10,2))</f>
        <v/>
      </c>
      <c r="E193" s="9">
        <f>IF(A193&gt;$B$7,"",C193-D193)</f>
        <v/>
      </c>
      <c r="F193" s="9">
        <f>IF(A193&gt;$B$7,"",B193-E193)</f>
        <v/>
      </c>
    </row>
    <row r="194">
      <c r="A194" s="12" t="n">
        <v>175</v>
      </c>
      <c r="B194" s="9">
        <f>IF(A194&gt;$B$7,"",F193)</f>
        <v/>
      </c>
      <c r="C194" s="9">
        <f>IF(A194&gt;$B$7,"",IF(A194=$B$7,B194+D194,$B$11))</f>
        <v/>
      </c>
      <c r="D194" s="9">
        <f>IF(A194&gt;$B$7,"",ROUND(B194*$B$10,2))</f>
        <v/>
      </c>
      <c r="E194" s="9">
        <f>IF(A194&gt;$B$7,"",C194-D194)</f>
        <v/>
      </c>
      <c r="F194" s="9">
        <f>IF(A194&gt;$B$7,"",B194-E194)</f>
        <v/>
      </c>
    </row>
    <row r="195">
      <c r="A195" s="12" t="n">
        <v>176</v>
      </c>
      <c r="B195" s="9">
        <f>IF(A195&gt;$B$7,"",F194)</f>
        <v/>
      </c>
      <c r="C195" s="9">
        <f>IF(A195&gt;$B$7,"",IF(A195=$B$7,B195+D195,$B$11))</f>
        <v/>
      </c>
      <c r="D195" s="9">
        <f>IF(A195&gt;$B$7,"",ROUND(B195*$B$10,2))</f>
        <v/>
      </c>
      <c r="E195" s="9">
        <f>IF(A195&gt;$B$7,"",C195-D195)</f>
        <v/>
      </c>
      <c r="F195" s="9">
        <f>IF(A195&gt;$B$7,"",B195-E195)</f>
        <v/>
      </c>
    </row>
    <row r="196">
      <c r="A196" s="12" t="n">
        <v>177</v>
      </c>
      <c r="B196" s="9">
        <f>IF(A196&gt;$B$7,"",F195)</f>
        <v/>
      </c>
      <c r="C196" s="9">
        <f>IF(A196&gt;$B$7,"",IF(A196=$B$7,B196+D196,$B$11))</f>
        <v/>
      </c>
      <c r="D196" s="9">
        <f>IF(A196&gt;$B$7,"",ROUND(B196*$B$10,2))</f>
        <v/>
      </c>
      <c r="E196" s="9">
        <f>IF(A196&gt;$B$7,"",C196-D196)</f>
        <v/>
      </c>
      <c r="F196" s="9">
        <f>IF(A196&gt;$B$7,"",B196-E196)</f>
        <v/>
      </c>
    </row>
    <row r="197">
      <c r="A197" s="12" t="n">
        <v>178</v>
      </c>
      <c r="B197" s="9">
        <f>IF(A197&gt;$B$7,"",F196)</f>
        <v/>
      </c>
      <c r="C197" s="9">
        <f>IF(A197&gt;$B$7,"",IF(A197=$B$7,B197+D197,$B$11))</f>
        <v/>
      </c>
      <c r="D197" s="9">
        <f>IF(A197&gt;$B$7,"",ROUND(B197*$B$10,2))</f>
        <v/>
      </c>
      <c r="E197" s="9">
        <f>IF(A197&gt;$B$7,"",C197-D197)</f>
        <v/>
      </c>
      <c r="F197" s="9">
        <f>IF(A197&gt;$B$7,"",B197-E197)</f>
        <v/>
      </c>
    </row>
    <row r="198">
      <c r="A198" s="12" t="n">
        <v>179</v>
      </c>
      <c r="B198" s="9">
        <f>IF(A198&gt;$B$7,"",F197)</f>
        <v/>
      </c>
      <c r="C198" s="9">
        <f>IF(A198&gt;$B$7,"",IF(A198=$B$7,B198+D198,$B$11))</f>
        <v/>
      </c>
      <c r="D198" s="9">
        <f>IF(A198&gt;$B$7,"",ROUND(B198*$B$10,2))</f>
        <v/>
      </c>
      <c r="E198" s="9">
        <f>IF(A198&gt;$B$7,"",C198-D198)</f>
        <v/>
      </c>
      <c r="F198" s="9">
        <f>IF(A198&gt;$B$7,"",B198-E198)</f>
        <v/>
      </c>
    </row>
    <row r="199">
      <c r="A199" s="12" t="n">
        <v>180</v>
      </c>
      <c r="B199" s="9">
        <f>IF(A199&gt;$B$7,"",F198)</f>
        <v/>
      </c>
      <c r="C199" s="9">
        <f>IF(A199&gt;$B$7,"",IF(A199=$B$7,B199+D199,$B$11))</f>
        <v/>
      </c>
      <c r="D199" s="9">
        <f>IF(A199&gt;$B$7,"",ROUND(B199*$B$10,2))</f>
        <v/>
      </c>
      <c r="E199" s="9">
        <f>IF(A199&gt;$B$7,"",C199-D199)</f>
        <v/>
      </c>
      <c r="F199" s="9">
        <f>IF(A199&gt;$B$7,"",B199-E199)</f>
        <v/>
      </c>
    </row>
    <row r="200">
      <c r="A200" s="12" t="n">
        <v>181</v>
      </c>
      <c r="B200" s="9">
        <f>IF(A200&gt;$B$7,"",F199)</f>
        <v/>
      </c>
      <c r="C200" s="9">
        <f>IF(A200&gt;$B$7,"",IF(A200=$B$7,B200+D200,$B$11))</f>
        <v/>
      </c>
      <c r="D200" s="9">
        <f>IF(A200&gt;$B$7,"",ROUND(B200*$B$10,2))</f>
        <v/>
      </c>
      <c r="E200" s="9">
        <f>IF(A200&gt;$B$7,"",C200-D200)</f>
        <v/>
      </c>
      <c r="F200" s="9">
        <f>IF(A200&gt;$B$7,"",B200-E200)</f>
        <v/>
      </c>
    </row>
    <row r="201">
      <c r="A201" s="12" t="n">
        <v>182</v>
      </c>
      <c r="B201" s="9">
        <f>IF(A201&gt;$B$7,"",F200)</f>
        <v/>
      </c>
      <c r="C201" s="9">
        <f>IF(A201&gt;$B$7,"",IF(A201=$B$7,B201+D201,$B$11))</f>
        <v/>
      </c>
      <c r="D201" s="9">
        <f>IF(A201&gt;$B$7,"",ROUND(B201*$B$10,2))</f>
        <v/>
      </c>
      <c r="E201" s="9">
        <f>IF(A201&gt;$B$7,"",C201-D201)</f>
        <v/>
      </c>
      <c r="F201" s="9">
        <f>IF(A201&gt;$B$7,"",B201-E201)</f>
        <v/>
      </c>
    </row>
    <row r="202">
      <c r="A202" s="12" t="n">
        <v>183</v>
      </c>
      <c r="B202" s="9">
        <f>IF(A202&gt;$B$7,"",F201)</f>
        <v/>
      </c>
      <c r="C202" s="9">
        <f>IF(A202&gt;$B$7,"",IF(A202=$B$7,B202+D202,$B$11))</f>
        <v/>
      </c>
      <c r="D202" s="9">
        <f>IF(A202&gt;$B$7,"",ROUND(B202*$B$10,2))</f>
        <v/>
      </c>
      <c r="E202" s="9">
        <f>IF(A202&gt;$B$7,"",C202-D202)</f>
        <v/>
      </c>
      <c r="F202" s="9">
        <f>IF(A202&gt;$B$7,"",B202-E202)</f>
        <v/>
      </c>
    </row>
    <row r="203">
      <c r="A203" s="12" t="n">
        <v>184</v>
      </c>
      <c r="B203" s="9">
        <f>IF(A203&gt;$B$7,"",F202)</f>
        <v/>
      </c>
      <c r="C203" s="9">
        <f>IF(A203&gt;$B$7,"",IF(A203=$B$7,B203+D203,$B$11))</f>
        <v/>
      </c>
      <c r="D203" s="9">
        <f>IF(A203&gt;$B$7,"",ROUND(B203*$B$10,2))</f>
        <v/>
      </c>
      <c r="E203" s="9">
        <f>IF(A203&gt;$B$7,"",C203-D203)</f>
        <v/>
      </c>
      <c r="F203" s="9">
        <f>IF(A203&gt;$B$7,"",B203-E203)</f>
        <v/>
      </c>
    </row>
    <row r="204">
      <c r="A204" s="12" t="n">
        <v>185</v>
      </c>
      <c r="B204" s="9">
        <f>IF(A204&gt;$B$7,"",F203)</f>
        <v/>
      </c>
      <c r="C204" s="9">
        <f>IF(A204&gt;$B$7,"",IF(A204=$B$7,B204+D204,$B$11))</f>
        <v/>
      </c>
      <c r="D204" s="9">
        <f>IF(A204&gt;$B$7,"",ROUND(B204*$B$10,2))</f>
        <v/>
      </c>
      <c r="E204" s="9">
        <f>IF(A204&gt;$B$7,"",C204-D204)</f>
        <v/>
      </c>
      <c r="F204" s="9">
        <f>IF(A204&gt;$B$7,"",B204-E204)</f>
        <v/>
      </c>
    </row>
    <row r="205">
      <c r="A205" s="12" t="n">
        <v>186</v>
      </c>
      <c r="B205" s="9">
        <f>IF(A205&gt;$B$7,"",F204)</f>
        <v/>
      </c>
      <c r="C205" s="9">
        <f>IF(A205&gt;$B$7,"",IF(A205=$B$7,B205+D205,$B$11))</f>
        <v/>
      </c>
      <c r="D205" s="9">
        <f>IF(A205&gt;$B$7,"",ROUND(B205*$B$10,2))</f>
        <v/>
      </c>
      <c r="E205" s="9">
        <f>IF(A205&gt;$B$7,"",C205-D205)</f>
        <v/>
      </c>
      <c r="F205" s="9">
        <f>IF(A205&gt;$B$7,"",B205-E205)</f>
        <v/>
      </c>
    </row>
    <row r="206">
      <c r="A206" s="12" t="n">
        <v>187</v>
      </c>
      <c r="B206" s="9">
        <f>IF(A206&gt;$B$7,"",F205)</f>
        <v/>
      </c>
      <c r="C206" s="9">
        <f>IF(A206&gt;$B$7,"",IF(A206=$B$7,B206+D206,$B$11))</f>
        <v/>
      </c>
      <c r="D206" s="9">
        <f>IF(A206&gt;$B$7,"",ROUND(B206*$B$10,2))</f>
        <v/>
      </c>
      <c r="E206" s="9">
        <f>IF(A206&gt;$B$7,"",C206-D206)</f>
        <v/>
      </c>
      <c r="F206" s="9">
        <f>IF(A206&gt;$B$7,"",B206-E206)</f>
        <v/>
      </c>
    </row>
    <row r="207">
      <c r="A207" s="12" t="n">
        <v>188</v>
      </c>
      <c r="B207" s="9">
        <f>IF(A207&gt;$B$7,"",F206)</f>
        <v/>
      </c>
      <c r="C207" s="9">
        <f>IF(A207&gt;$B$7,"",IF(A207=$B$7,B207+D207,$B$11))</f>
        <v/>
      </c>
      <c r="D207" s="9">
        <f>IF(A207&gt;$B$7,"",ROUND(B207*$B$10,2))</f>
        <v/>
      </c>
      <c r="E207" s="9">
        <f>IF(A207&gt;$B$7,"",C207-D207)</f>
        <v/>
      </c>
      <c r="F207" s="9">
        <f>IF(A207&gt;$B$7,"",B207-E207)</f>
        <v/>
      </c>
    </row>
    <row r="208">
      <c r="A208" s="12" t="n">
        <v>189</v>
      </c>
      <c r="B208" s="9">
        <f>IF(A208&gt;$B$7,"",F207)</f>
        <v/>
      </c>
      <c r="C208" s="9">
        <f>IF(A208&gt;$B$7,"",IF(A208=$B$7,B208+D208,$B$11))</f>
        <v/>
      </c>
      <c r="D208" s="9">
        <f>IF(A208&gt;$B$7,"",ROUND(B208*$B$10,2))</f>
        <v/>
      </c>
      <c r="E208" s="9">
        <f>IF(A208&gt;$B$7,"",C208-D208)</f>
        <v/>
      </c>
      <c r="F208" s="9">
        <f>IF(A208&gt;$B$7,"",B208-E208)</f>
        <v/>
      </c>
    </row>
    <row r="209">
      <c r="A209" s="12" t="n">
        <v>190</v>
      </c>
      <c r="B209" s="9">
        <f>IF(A209&gt;$B$7,"",F208)</f>
        <v/>
      </c>
      <c r="C209" s="9">
        <f>IF(A209&gt;$B$7,"",IF(A209=$B$7,B209+D209,$B$11))</f>
        <v/>
      </c>
      <c r="D209" s="9">
        <f>IF(A209&gt;$B$7,"",ROUND(B209*$B$10,2))</f>
        <v/>
      </c>
      <c r="E209" s="9">
        <f>IF(A209&gt;$B$7,"",C209-D209)</f>
        <v/>
      </c>
      <c r="F209" s="9">
        <f>IF(A209&gt;$B$7,"",B209-E209)</f>
        <v/>
      </c>
    </row>
    <row r="210">
      <c r="A210" s="12" t="n">
        <v>191</v>
      </c>
      <c r="B210" s="9">
        <f>IF(A210&gt;$B$7,"",F209)</f>
        <v/>
      </c>
      <c r="C210" s="9">
        <f>IF(A210&gt;$B$7,"",IF(A210=$B$7,B210+D210,$B$11))</f>
        <v/>
      </c>
      <c r="D210" s="9">
        <f>IF(A210&gt;$B$7,"",ROUND(B210*$B$10,2))</f>
        <v/>
      </c>
      <c r="E210" s="9">
        <f>IF(A210&gt;$B$7,"",C210-D210)</f>
        <v/>
      </c>
      <c r="F210" s="9">
        <f>IF(A210&gt;$B$7,"",B210-E210)</f>
        <v/>
      </c>
    </row>
    <row r="211">
      <c r="A211" s="12" t="n">
        <v>192</v>
      </c>
      <c r="B211" s="9">
        <f>IF(A211&gt;$B$7,"",F210)</f>
        <v/>
      </c>
      <c r="C211" s="9">
        <f>IF(A211&gt;$B$7,"",IF(A211=$B$7,B211+D211,$B$11))</f>
        <v/>
      </c>
      <c r="D211" s="9">
        <f>IF(A211&gt;$B$7,"",ROUND(B211*$B$10,2))</f>
        <v/>
      </c>
      <c r="E211" s="9">
        <f>IF(A211&gt;$B$7,"",C211-D211)</f>
        <v/>
      </c>
      <c r="F211" s="9">
        <f>IF(A211&gt;$B$7,"",B211-E211)</f>
        <v/>
      </c>
    </row>
    <row r="212">
      <c r="A212" s="12" t="n">
        <v>193</v>
      </c>
      <c r="B212" s="9">
        <f>IF(A212&gt;$B$7,"",F211)</f>
        <v/>
      </c>
      <c r="C212" s="9">
        <f>IF(A212&gt;$B$7,"",IF(A212=$B$7,B212+D212,$B$11))</f>
        <v/>
      </c>
      <c r="D212" s="9">
        <f>IF(A212&gt;$B$7,"",ROUND(B212*$B$10,2))</f>
        <v/>
      </c>
      <c r="E212" s="9">
        <f>IF(A212&gt;$B$7,"",C212-D212)</f>
        <v/>
      </c>
      <c r="F212" s="9">
        <f>IF(A212&gt;$B$7,"",B212-E212)</f>
        <v/>
      </c>
    </row>
    <row r="213">
      <c r="A213" s="12" t="n">
        <v>194</v>
      </c>
      <c r="B213" s="9">
        <f>IF(A213&gt;$B$7,"",F212)</f>
        <v/>
      </c>
      <c r="C213" s="9">
        <f>IF(A213&gt;$B$7,"",IF(A213=$B$7,B213+D213,$B$11))</f>
        <v/>
      </c>
      <c r="D213" s="9">
        <f>IF(A213&gt;$B$7,"",ROUND(B213*$B$10,2))</f>
        <v/>
      </c>
      <c r="E213" s="9">
        <f>IF(A213&gt;$B$7,"",C213-D213)</f>
        <v/>
      </c>
      <c r="F213" s="9">
        <f>IF(A213&gt;$B$7,"",B213-E213)</f>
        <v/>
      </c>
    </row>
    <row r="214">
      <c r="A214" s="12" t="n">
        <v>195</v>
      </c>
      <c r="B214" s="9">
        <f>IF(A214&gt;$B$7,"",F213)</f>
        <v/>
      </c>
      <c r="C214" s="9">
        <f>IF(A214&gt;$B$7,"",IF(A214=$B$7,B214+D214,$B$11))</f>
        <v/>
      </c>
      <c r="D214" s="9">
        <f>IF(A214&gt;$B$7,"",ROUND(B214*$B$10,2))</f>
        <v/>
      </c>
      <c r="E214" s="9">
        <f>IF(A214&gt;$B$7,"",C214-D214)</f>
        <v/>
      </c>
      <c r="F214" s="9">
        <f>IF(A214&gt;$B$7,"",B214-E214)</f>
        <v/>
      </c>
    </row>
    <row r="215">
      <c r="A215" s="12" t="n">
        <v>196</v>
      </c>
      <c r="B215" s="9">
        <f>IF(A215&gt;$B$7,"",F214)</f>
        <v/>
      </c>
      <c r="C215" s="9">
        <f>IF(A215&gt;$B$7,"",IF(A215=$B$7,B215+D215,$B$11))</f>
        <v/>
      </c>
      <c r="D215" s="9">
        <f>IF(A215&gt;$B$7,"",ROUND(B215*$B$10,2))</f>
        <v/>
      </c>
      <c r="E215" s="9">
        <f>IF(A215&gt;$B$7,"",C215-D215)</f>
        <v/>
      </c>
      <c r="F215" s="9">
        <f>IF(A215&gt;$B$7,"",B215-E215)</f>
        <v/>
      </c>
    </row>
    <row r="216">
      <c r="A216" s="12" t="n">
        <v>197</v>
      </c>
      <c r="B216" s="9">
        <f>IF(A216&gt;$B$7,"",F215)</f>
        <v/>
      </c>
      <c r="C216" s="9">
        <f>IF(A216&gt;$B$7,"",IF(A216=$B$7,B216+D216,$B$11))</f>
        <v/>
      </c>
      <c r="D216" s="9">
        <f>IF(A216&gt;$B$7,"",ROUND(B216*$B$10,2))</f>
        <v/>
      </c>
      <c r="E216" s="9">
        <f>IF(A216&gt;$B$7,"",C216-D216)</f>
        <v/>
      </c>
      <c r="F216" s="9">
        <f>IF(A216&gt;$B$7,"",B216-E216)</f>
        <v/>
      </c>
    </row>
    <row r="217">
      <c r="A217" s="12" t="n">
        <v>198</v>
      </c>
      <c r="B217" s="9">
        <f>IF(A217&gt;$B$7,"",F216)</f>
        <v/>
      </c>
      <c r="C217" s="9">
        <f>IF(A217&gt;$B$7,"",IF(A217=$B$7,B217+D217,$B$11))</f>
        <v/>
      </c>
      <c r="D217" s="9">
        <f>IF(A217&gt;$B$7,"",ROUND(B217*$B$10,2))</f>
        <v/>
      </c>
      <c r="E217" s="9">
        <f>IF(A217&gt;$B$7,"",C217-D217)</f>
        <v/>
      </c>
      <c r="F217" s="9">
        <f>IF(A217&gt;$B$7,"",B217-E217)</f>
        <v/>
      </c>
    </row>
    <row r="218">
      <c r="A218" s="12" t="n">
        <v>199</v>
      </c>
      <c r="B218" s="9">
        <f>IF(A218&gt;$B$7,"",F217)</f>
        <v/>
      </c>
      <c r="C218" s="9">
        <f>IF(A218&gt;$B$7,"",IF(A218=$B$7,B218+D218,$B$11))</f>
        <v/>
      </c>
      <c r="D218" s="9">
        <f>IF(A218&gt;$B$7,"",ROUND(B218*$B$10,2))</f>
        <v/>
      </c>
      <c r="E218" s="9">
        <f>IF(A218&gt;$B$7,"",C218-D218)</f>
        <v/>
      </c>
      <c r="F218" s="9">
        <f>IF(A218&gt;$B$7,"",B218-E218)</f>
        <v/>
      </c>
    </row>
    <row r="219">
      <c r="A219" s="12" t="n">
        <v>200</v>
      </c>
      <c r="B219" s="9">
        <f>IF(A219&gt;$B$7,"",F218)</f>
        <v/>
      </c>
      <c r="C219" s="9">
        <f>IF(A219&gt;$B$7,"",IF(A219=$B$7,B219+D219,$B$11))</f>
        <v/>
      </c>
      <c r="D219" s="9">
        <f>IF(A219&gt;$B$7,"",ROUND(B219*$B$10,2))</f>
        <v/>
      </c>
      <c r="E219" s="9">
        <f>IF(A219&gt;$B$7,"",C219-D219)</f>
        <v/>
      </c>
      <c r="F219" s="9">
        <f>IF(A219&gt;$B$7,"",B219-E219)</f>
        <v/>
      </c>
    </row>
    <row r="220">
      <c r="A220" s="12" t="n">
        <v>201</v>
      </c>
      <c r="B220" s="9">
        <f>IF(A220&gt;$B$7,"",F219)</f>
        <v/>
      </c>
      <c r="C220" s="9">
        <f>IF(A220&gt;$B$7,"",IF(A220=$B$7,B220+D220,$B$11))</f>
        <v/>
      </c>
      <c r="D220" s="9">
        <f>IF(A220&gt;$B$7,"",ROUND(B220*$B$10,2))</f>
        <v/>
      </c>
      <c r="E220" s="9">
        <f>IF(A220&gt;$B$7,"",C220-D220)</f>
        <v/>
      </c>
      <c r="F220" s="9">
        <f>IF(A220&gt;$B$7,"",B220-E220)</f>
        <v/>
      </c>
    </row>
    <row r="221">
      <c r="A221" s="12" t="n">
        <v>202</v>
      </c>
      <c r="B221" s="9">
        <f>IF(A221&gt;$B$7,"",F220)</f>
        <v/>
      </c>
      <c r="C221" s="9">
        <f>IF(A221&gt;$B$7,"",IF(A221=$B$7,B221+D221,$B$11))</f>
        <v/>
      </c>
      <c r="D221" s="9">
        <f>IF(A221&gt;$B$7,"",ROUND(B221*$B$10,2))</f>
        <v/>
      </c>
      <c r="E221" s="9">
        <f>IF(A221&gt;$B$7,"",C221-D221)</f>
        <v/>
      </c>
      <c r="F221" s="9">
        <f>IF(A221&gt;$B$7,"",B221-E221)</f>
        <v/>
      </c>
    </row>
    <row r="222">
      <c r="A222" s="12" t="n">
        <v>203</v>
      </c>
      <c r="B222" s="9">
        <f>IF(A222&gt;$B$7,"",F221)</f>
        <v/>
      </c>
      <c r="C222" s="9">
        <f>IF(A222&gt;$B$7,"",IF(A222=$B$7,B222+D222,$B$11))</f>
        <v/>
      </c>
      <c r="D222" s="9">
        <f>IF(A222&gt;$B$7,"",ROUND(B222*$B$10,2))</f>
        <v/>
      </c>
      <c r="E222" s="9">
        <f>IF(A222&gt;$B$7,"",C222-D222)</f>
        <v/>
      </c>
      <c r="F222" s="9">
        <f>IF(A222&gt;$B$7,"",B222-E222)</f>
        <v/>
      </c>
    </row>
    <row r="223">
      <c r="A223" s="12" t="n">
        <v>204</v>
      </c>
      <c r="B223" s="9">
        <f>IF(A223&gt;$B$7,"",F222)</f>
        <v/>
      </c>
      <c r="C223" s="9">
        <f>IF(A223&gt;$B$7,"",IF(A223=$B$7,B223+D223,$B$11))</f>
        <v/>
      </c>
      <c r="D223" s="9">
        <f>IF(A223&gt;$B$7,"",ROUND(B223*$B$10,2))</f>
        <v/>
      </c>
      <c r="E223" s="9">
        <f>IF(A223&gt;$B$7,"",C223-D223)</f>
        <v/>
      </c>
      <c r="F223" s="9">
        <f>IF(A223&gt;$B$7,"",B223-E223)</f>
        <v/>
      </c>
    </row>
    <row r="224">
      <c r="A224" s="12" t="n">
        <v>205</v>
      </c>
      <c r="B224" s="9">
        <f>IF(A224&gt;$B$7,"",F223)</f>
        <v/>
      </c>
      <c r="C224" s="9">
        <f>IF(A224&gt;$B$7,"",IF(A224=$B$7,B224+D224,$B$11))</f>
        <v/>
      </c>
      <c r="D224" s="9">
        <f>IF(A224&gt;$B$7,"",ROUND(B224*$B$10,2))</f>
        <v/>
      </c>
      <c r="E224" s="9">
        <f>IF(A224&gt;$B$7,"",C224-D224)</f>
        <v/>
      </c>
      <c r="F224" s="9">
        <f>IF(A224&gt;$B$7,"",B224-E224)</f>
        <v/>
      </c>
    </row>
    <row r="225">
      <c r="A225" s="12" t="n">
        <v>206</v>
      </c>
      <c r="B225" s="9">
        <f>IF(A225&gt;$B$7,"",F224)</f>
        <v/>
      </c>
      <c r="C225" s="9">
        <f>IF(A225&gt;$B$7,"",IF(A225=$B$7,B225+D225,$B$11))</f>
        <v/>
      </c>
      <c r="D225" s="9">
        <f>IF(A225&gt;$B$7,"",ROUND(B225*$B$10,2))</f>
        <v/>
      </c>
      <c r="E225" s="9">
        <f>IF(A225&gt;$B$7,"",C225-D225)</f>
        <v/>
      </c>
      <c r="F225" s="9">
        <f>IF(A225&gt;$B$7,"",B225-E225)</f>
        <v/>
      </c>
    </row>
    <row r="226">
      <c r="A226" s="12" t="n">
        <v>207</v>
      </c>
      <c r="B226" s="9">
        <f>IF(A226&gt;$B$7,"",F225)</f>
        <v/>
      </c>
      <c r="C226" s="9">
        <f>IF(A226&gt;$B$7,"",IF(A226=$B$7,B226+D226,$B$11))</f>
        <v/>
      </c>
      <c r="D226" s="9">
        <f>IF(A226&gt;$B$7,"",ROUND(B226*$B$10,2))</f>
        <v/>
      </c>
      <c r="E226" s="9">
        <f>IF(A226&gt;$B$7,"",C226-D226)</f>
        <v/>
      </c>
      <c r="F226" s="9">
        <f>IF(A226&gt;$B$7,"",B226-E226)</f>
        <v/>
      </c>
    </row>
    <row r="227">
      <c r="A227" s="12" t="n">
        <v>208</v>
      </c>
      <c r="B227" s="9">
        <f>IF(A227&gt;$B$7,"",F226)</f>
        <v/>
      </c>
      <c r="C227" s="9">
        <f>IF(A227&gt;$B$7,"",IF(A227=$B$7,B227+D227,$B$11))</f>
        <v/>
      </c>
      <c r="D227" s="9">
        <f>IF(A227&gt;$B$7,"",ROUND(B227*$B$10,2))</f>
        <v/>
      </c>
      <c r="E227" s="9">
        <f>IF(A227&gt;$B$7,"",C227-D227)</f>
        <v/>
      </c>
      <c r="F227" s="9">
        <f>IF(A227&gt;$B$7,"",B227-E227)</f>
        <v/>
      </c>
    </row>
    <row r="228">
      <c r="A228" s="12" t="n">
        <v>209</v>
      </c>
      <c r="B228" s="9">
        <f>IF(A228&gt;$B$7,"",F227)</f>
        <v/>
      </c>
      <c r="C228" s="9">
        <f>IF(A228&gt;$B$7,"",IF(A228=$B$7,B228+D228,$B$11))</f>
        <v/>
      </c>
      <c r="D228" s="9">
        <f>IF(A228&gt;$B$7,"",ROUND(B228*$B$10,2))</f>
        <v/>
      </c>
      <c r="E228" s="9">
        <f>IF(A228&gt;$B$7,"",C228-D228)</f>
        <v/>
      </c>
      <c r="F228" s="9">
        <f>IF(A228&gt;$B$7,"",B228-E228)</f>
        <v/>
      </c>
    </row>
    <row r="229">
      <c r="A229" s="12" t="n">
        <v>210</v>
      </c>
      <c r="B229" s="9">
        <f>IF(A229&gt;$B$7,"",F228)</f>
        <v/>
      </c>
      <c r="C229" s="9">
        <f>IF(A229&gt;$B$7,"",IF(A229=$B$7,B229+D229,$B$11))</f>
        <v/>
      </c>
      <c r="D229" s="9">
        <f>IF(A229&gt;$B$7,"",ROUND(B229*$B$10,2))</f>
        <v/>
      </c>
      <c r="E229" s="9">
        <f>IF(A229&gt;$B$7,"",C229-D229)</f>
        <v/>
      </c>
      <c r="F229" s="9">
        <f>IF(A229&gt;$B$7,"",B229-E229)</f>
        <v/>
      </c>
    </row>
    <row r="230">
      <c r="A230" s="12" t="n">
        <v>211</v>
      </c>
      <c r="B230" s="9">
        <f>IF(A230&gt;$B$7,"",F229)</f>
        <v/>
      </c>
      <c r="C230" s="9">
        <f>IF(A230&gt;$B$7,"",IF(A230=$B$7,B230+D230,$B$11))</f>
        <v/>
      </c>
      <c r="D230" s="9">
        <f>IF(A230&gt;$B$7,"",ROUND(B230*$B$10,2))</f>
        <v/>
      </c>
      <c r="E230" s="9">
        <f>IF(A230&gt;$B$7,"",C230-D230)</f>
        <v/>
      </c>
      <c r="F230" s="9">
        <f>IF(A230&gt;$B$7,"",B230-E230)</f>
        <v/>
      </c>
    </row>
    <row r="231">
      <c r="A231" s="12" t="n">
        <v>212</v>
      </c>
      <c r="B231" s="9">
        <f>IF(A231&gt;$B$7,"",F230)</f>
        <v/>
      </c>
      <c r="C231" s="9">
        <f>IF(A231&gt;$B$7,"",IF(A231=$B$7,B231+D231,$B$11))</f>
        <v/>
      </c>
      <c r="D231" s="9">
        <f>IF(A231&gt;$B$7,"",ROUND(B231*$B$10,2))</f>
        <v/>
      </c>
      <c r="E231" s="9">
        <f>IF(A231&gt;$B$7,"",C231-D231)</f>
        <v/>
      </c>
      <c r="F231" s="9">
        <f>IF(A231&gt;$B$7,"",B231-E231)</f>
        <v/>
      </c>
    </row>
    <row r="232">
      <c r="A232" s="12" t="n">
        <v>213</v>
      </c>
      <c r="B232" s="9">
        <f>IF(A232&gt;$B$7,"",F231)</f>
        <v/>
      </c>
      <c r="C232" s="9">
        <f>IF(A232&gt;$B$7,"",IF(A232=$B$7,B232+D232,$B$11))</f>
        <v/>
      </c>
      <c r="D232" s="9">
        <f>IF(A232&gt;$B$7,"",ROUND(B232*$B$10,2))</f>
        <v/>
      </c>
      <c r="E232" s="9">
        <f>IF(A232&gt;$B$7,"",C232-D232)</f>
        <v/>
      </c>
      <c r="F232" s="9">
        <f>IF(A232&gt;$B$7,"",B232-E232)</f>
        <v/>
      </c>
    </row>
    <row r="233">
      <c r="A233" s="12" t="n">
        <v>214</v>
      </c>
      <c r="B233" s="9">
        <f>IF(A233&gt;$B$7,"",F232)</f>
        <v/>
      </c>
      <c r="C233" s="9">
        <f>IF(A233&gt;$B$7,"",IF(A233=$B$7,B233+D233,$B$11))</f>
        <v/>
      </c>
      <c r="D233" s="9">
        <f>IF(A233&gt;$B$7,"",ROUND(B233*$B$10,2))</f>
        <v/>
      </c>
      <c r="E233" s="9">
        <f>IF(A233&gt;$B$7,"",C233-D233)</f>
        <v/>
      </c>
      <c r="F233" s="9">
        <f>IF(A233&gt;$B$7,"",B233-E233)</f>
        <v/>
      </c>
    </row>
    <row r="234">
      <c r="A234" s="12" t="n">
        <v>215</v>
      </c>
      <c r="B234" s="9">
        <f>IF(A234&gt;$B$7,"",F233)</f>
        <v/>
      </c>
      <c r="C234" s="9">
        <f>IF(A234&gt;$B$7,"",IF(A234=$B$7,B234+D234,$B$11))</f>
        <v/>
      </c>
      <c r="D234" s="9">
        <f>IF(A234&gt;$B$7,"",ROUND(B234*$B$10,2))</f>
        <v/>
      </c>
      <c r="E234" s="9">
        <f>IF(A234&gt;$B$7,"",C234-D234)</f>
        <v/>
      </c>
      <c r="F234" s="9">
        <f>IF(A234&gt;$B$7,"",B234-E234)</f>
        <v/>
      </c>
    </row>
    <row r="235">
      <c r="A235" s="12" t="n">
        <v>216</v>
      </c>
      <c r="B235" s="9">
        <f>IF(A235&gt;$B$7,"",F234)</f>
        <v/>
      </c>
      <c r="C235" s="9">
        <f>IF(A235&gt;$B$7,"",IF(A235=$B$7,B235+D235,$B$11))</f>
        <v/>
      </c>
      <c r="D235" s="9">
        <f>IF(A235&gt;$B$7,"",ROUND(B235*$B$10,2))</f>
        <v/>
      </c>
      <c r="E235" s="9">
        <f>IF(A235&gt;$B$7,"",C235-D235)</f>
        <v/>
      </c>
      <c r="F235" s="9">
        <f>IF(A235&gt;$B$7,"",B235-E235)</f>
        <v/>
      </c>
    </row>
    <row r="236">
      <c r="A236" s="12" t="n">
        <v>217</v>
      </c>
      <c r="B236" s="9">
        <f>IF(A236&gt;$B$7,"",F235)</f>
        <v/>
      </c>
      <c r="C236" s="9">
        <f>IF(A236&gt;$B$7,"",IF(A236=$B$7,B236+D236,$B$11))</f>
        <v/>
      </c>
      <c r="D236" s="9">
        <f>IF(A236&gt;$B$7,"",ROUND(B236*$B$10,2))</f>
        <v/>
      </c>
      <c r="E236" s="9">
        <f>IF(A236&gt;$B$7,"",C236-D236)</f>
        <v/>
      </c>
      <c r="F236" s="9">
        <f>IF(A236&gt;$B$7,"",B236-E236)</f>
        <v/>
      </c>
    </row>
    <row r="237">
      <c r="A237" s="12" t="n">
        <v>218</v>
      </c>
      <c r="B237" s="9">
        <f>IF(A237&gt;$B$7,"",F236)</f>
        <v/>
      </c>
      <c r="C237" s="9">
        <f>IF(A237&gt;$B$7,"",IF(A237=$B$7,B237+D237,$B$11))</f>
        <v/>
      </c>
      <c r="D237" s="9">
        <f>IF(A237&gt;$B$7,"",ROUND(B237*$B$10,2))</f>
        <v/>
      </c>
      <c r="E237" s="9">
        <f>IF(A237&gt;$B$7,"",C237-D237)</f>
        <v/>
      </c>
      <c r="F237" s="9">
        <f>IF(A237&gt;$B$7,"",B237-E237)</f>
        <v/>
      </c>
    </row>
    <row r="238">
      <c r="A238" s="12" t="n">
        <v>219</v>
      </c>
      <c r="B238" s="9">
        <f>IF(A238&gt;$B$7,"",F237)</f>
        <v/>
      </c>
      <c r="C238" s="9">
        <f>IF(A238&gt;$B$7,"",IF(A238=$B$7,B238+D238,$B$11))</f>
        <v/>
      </c>
      <c r="D238" s="9">
        <f>IF(A238&gt;$B$7,"",ROUND(B238*$B$10,2))</f>
        <v/>
      </c>
      <c r="E238" s="9">
        <f>IF(A238&gt;$B$7,"",C238-D238)</f>
        <v/>
      </c>
      <c r="F238" s="9">
        <f>IF(A238&gt;$B$7,"",B238-E238)</f>
        <v/>
      </c>
    </row>
    <row r="239">
      <c r="A239" s="12" t="n">
        <v>220</v>
      </c>
      <c r="B239" s="9">
        <f>IF(A239&gt;$B$7,"",F238)</f>
        <v/>
      </c>
      <c r="C239" s="9">
        <f>IF(A239&gt;$B$7,"",IF(A239=$B$7,B239+D239,$B$11))</f>
        <v/>
      </c>
      <c r="D239" s="9">
        <f>IF(A239&gt;$B$7,"",ROUND(B239*$B$10,2))</f>
        <v/>
      </c>
      <c r="E239" s="9">
        <f>IF(A239&gt;$B$7,"",C239-D239)</f>
        <v/>
      </c>
      <c r="F239" s="9">
        <f>IF(A239&gt;$B$7,"",B239-E239)</f>
        <v/>
      </c>
    </row>
    <row r="240">
      <c r="A240" s="12" t="n">
        <v>221</v>
      </c>
      <c r="B240" s="9">
        <f>IF(A240&gt;$B$7,"",F239)</f>
        <v/>
      </c>
      <c r="C240" s="9">
        <f>IF(A240&gt;$B$7,"",IF(A240=$B$7,B240+D240,$B$11))</f>
        <v/>
      </c>
      <c r="D240" s="9">
        <f>IF(A240&gt;$B$7,"",ROUND(B240*$B$10,2))</f>
        <v/>
      </c>
      <c r="E240" s="9">
        <f>IF(A240&gt;$B$7,"",C240-D240)</f>
        <v/>
      </c>
      <c r="F240" s="9">
        <f>IF(A240&gt;$B$7,"",B240-E240)</f>
        <v/>
      </c>
    </row>
    <row r="241">
      <c r="A241" s="12" t="n">
        <v>222</v>
      </c>
      <c r="B241" s="9">
        <f>IF(A241&gt;$B$7,"",F240)</f>
        <v/>
      </c>
      <c r="C241" s="9">
        <f>IF(A241&gt;$B$7,"",IF(A241=$B$7,B241+D241,$B$11))</f>
        <v/>
      </c>
      <c r="D241" s="9">
        <f>IF(A241&gt;$B$7,"",ROUND(B241*$B$10,2))</f>
        <v/>
      </c>
      <c r="E241" s="9">
        <f>IF(A241&gt;$B$7,"",C241-D241)</f>
        <v/>
      </c>
      <c r="F241" s="9">
        <f>IF(A241&gt;$B$7,"",B241-E241)</f>
        <v/>
      </c>
    </row>
    <row r="242">
      <c r="A242" s="12" t="n">
        <v>223</v>
      </c>
      <c r="B242" s="9">
        <f>IF(A242&gt;$B$7,"",F241)</f>
        <v/>
      </c>
      <c r="C242" s="9">
        <f>IF(A242&gt;$B$7,"",IF(A242=$B$7,B242+D242,$B$11))</f>
        <v/>
      </c>
      <c r="D242" s="9">
        <f>IF(A242&gt;$B$7,"",ROUND(B242*$B$10,2))</f>
        <v/>
      </c>
      <c r="E242" s="9">
        <f>IF(A242&gt;$B$7,"",C242-D242)</f>
        <v/>
      </c>
      <c r="F242" s="9">
        <f>IF(A242&gt;$B$7,"",B242-E242)</f>
        <v/>
      </c>
    </row>
    <row r="243">
      <c r="A243" s="12" t="n">
        <v>224</v>
      </c>
      <c r="B243" s="9">
        <f>IF(A243&gt;$B$7,"",F242)</f>
        <v/>
      </c>
      <c r="C243" s="9">
        <f>IF(A243&gt;$B$7,"",IF(A243=$B$7,B243+D243,$B$11))</f>
        <v/>
      </c>
      <c r="D243" s="9">
        <f>IF(A243&gt;$B$7,"",ROUND(B243*$B$10,2))</f>
        <v/>
      </c>
      <c r="E243" s="9">
        <f>IF(A243&gt;$B$7,"",C243-D243)</f>
        <v/>
      </c>
      <c r="F243" s="9">
        <f>IF(A243&gt;$B$7,"",B243-E243)</f>
        <v/>
      </c>
    </row>
    <row r="244">
      <c r="A244" s="12" t="n">
        <v>225</v>
      </c>
      <c r="B244" s="9">
        <f>IF(A244&gt;$B$7,"",F243)</f>
        <v/>
      </c>
      <c r="C244" s="9">
        <f>IF(A244&gt;$B$7,"",IF(A244=$B$7,B244+D244,$B$11))</f>
        <v/>
      </c>
      <c r="D244" s="9">
        <f>IF(A244&gt;$B$7,"",ROUND(B244*$B$10,2))</f>
        <v/>
      </c>
      <c r="E244" s="9">
        <f>IF(A244&gt;$B$7,"",C244-D244)</f>
        <v/>
      </c>
      <c r="F244" s="9">
        <f>IF(A244&gt;$B$7,"",B244-E244)</f>
        <v/>
      </c>
    </row>
    <row r="245">
      <c r="A245" s="12" t="n">
        <v>226</v>
      </c>
      <c r="B245" s="9">
        <f>IF(A245&gt;$B$7,"",F244)</f>
        <v/>
      </c>
      <c r="C245" s="9">
        <f>IF(A245&gt;$B$7,"",IF(A245=$B$7,B245+D245,$B$11))</f>
        <v/>
      </c>
      <c r="D245" s="9">
        <f>IF(A245&gt;$B$7,"",ROUND(B245*$B$10,2))</f>
        <v/>
      </c>
      <c r="E245" s="9">
        <f>IF(A245&gt;$B$7,"",C245-D245)</f>
        <v/>
      </c>
      <c r="F245" s="9">
        <f>IF(A245&gt;$B$7,"",B245-E245)</f>
        <v/>
      </c>
    </row>
    <row r="246">
      <c r="A246" s="12" t="n">
        <v>227</v>
      </c>
      <c r="B246" s="9">
        <f>IF(A246&gt;$B$7,"",F245)</f>
        <v/>
      </c>
      <c r="C246" s="9">
        <f>IF(A246&gt;$B$7,"",IF(A246=$B$7,B246+D246,$B$11))</f>
        <v/>
      </c>
      <c r="D246" s="9">
        <f>IF(A246&gt;$B$7,"",ROUND(B246*$B$10,2))</f>
        <v/>
      </c>
      <c r="E246" s="9">
        <f>IF(A246&gt;$B$7,"",C246-D246)</f>
        <v/>
      </c>
      <c r="F246" s="9">
        <f>IF(A246&gt;$B$7,"",B246-E246)</f>
        <v/>
      </c>
    </row>
    <row r="247">
      <c r="A247" s="12" t="n">
        <v>228</v>
      </c>
      <c r="B247" s="9">
        <f>IF(A247&gt;$B$7,"",F246)</f>
        <v/>
      </c>
      <c r="C247" s="9">
        <f>IF(A247&gt;$B$7,"",IF(A247=$B$7,B247+D247,$B$11))</f>
        <v/>
      </c>
      <c r="D247" s="9">
        <f>IF(A247&gt;$B$7,"",ROUND(B247*$B$10,2))</f>
        <v/>
      </c>
      <c r="E247" s="9">
        <f>IF(A247&gt;$B$7,"",C247-D247)</f>
        <v/>
      </c>
      <c r="F247" s="9">
        <f>IF(A247&gt;$B$7,"",B247-E247)</f>
        <v/>
      </c>
    </row>
    <row r="248">
      <c r="A248" s="12" t="n">
        <v>229</v>
      </c>
      <c r="B248" s="9">
        <f>IF(A248&gt;$B$7,"",F247)</f>
        <v/>
      </c>
      <c r="C248" s="9">
        <f>IF(A248&gt;$B$7,"",IF(A248=$B$7,B248+D248,$B$11))</f>
        <v/>
      </c>
      <c r="D248" s="9">
        <f>IF(A248&gt;$B$7,"",ROUND(B248*$B$10,2))</f>
        <v/>
      </c>
      <c r="E248" s="9">
        <f>IF(A248&gt;$B$7,"",C248-D248)</f>
        <v/>
      </c>
      <c r="F248" s="9">
        <f>IF(A248&gt;$B$7,"",B248-E248)</f>
        <v/>
      </c>
    </row>
    <row r="249">
      <c r="A249" s="12" t="n">
        <v>230</v>
      </c>
      <c r="B249" s="9">
        <f>IF(A249&gt;$B$7,"",F248)</f>
        <v/>
      </c>
      <c r="C249" s="9">
        <f>IF(A249&gt;$B$7,"",IF(A249=$B$7,B249+D249,$B$11))</f>
        <v/>
      </c>
      <c r="D249" s="9">
        <f>IF(A249&gt;$B$7,"",ROUND(B249*$B$10,2))</f>
        <v/>
      </c>
      <c r="E249" s="9">
        <f>IF(A249&gt;$B$7,"",C249-D249)</f>
        <v/>
      </c>
      <c r="F249" s="9">
        <f>IF(A249&gt;$B$7,"",B249-E249)</f>
        <v/>
      </c>
    </row>
    <row r="250">
      <c r="A250" s="12" t="n">
        <v>231</v>
      </c>
      <c r="B250" s="9">
        <f>IF(A250&gt;$B$7,"",F249)</f>
        <v/>
      </c>
      <c r="C250" s="9">
        <f>IF(A250&gt;$B$7,"",IF(A250=$B$7,B250+D250,$B$11))</f>
        <v/>
      </c>
      <c r="D250" s="9">
        <f>IF(A250&gt;$B$7,"",ROUND(B250*$B$10,2))</f>
        <v/>
      </c>
      <c r="E250" s="9">
        <f>IF(A250&gt;$B$7,"",C250-D250)</f>
        <v/>
      </c>
      <c r="F250" s="9">
        <f>IF(A250&gt;$B$7,"",B250-E250)</f>
        <v/>
      </c>
    </row>
    <row r="251">
      <c r="A251" s="12" t="n">
        <v>232</v>
      </c>
      <c r="B251" s="9">
        <f>IF(A251&gt;$B$7,"",F250)</f>
        <v/>
      </c>
      <c r="C251" s="9">
        <f>IF(A251&gt;$B$7,"",IF(A251=$B$7,B251+D251,$B$11))</f>
        <v/>
      </c>
      <c r="D251" s="9">
        <f>IF(A251&gt;$B$7,"",ROUND(B251*$B$10,2))</f>
        <v/>
      </c>
      <c r="E251" s="9">
        <f>IF(A251&gt;$B$7,"",C251-D251)</f>
        <v/>
      </c>
      <c r="F251" s="9">
        <f>IF(A251&gt;$B$7,"",B251-E251)</f>
        <v/>
      </c>
    </row>
    <row r="252">
      <c r="A252" s="12" t="n">
        <v>233</v>
      </c>
      <c r="B252" s="9">
        <f>IF(A252&gt;$B$7,"",F251)</f>
        <v/>
      </c>
      <c r="C252" s="9">
        <f>IF(A252&gt;$B$7,"",IF(A252=$B$7,B252+D252,$B$11))</f>
        <v/>
      </c>
      <c r="D252" s="9">
        <f>IF(A252&gt;$B$7,"",ROUND(B252*$B$10,2))</f>
        <v/>
      </c>
      <c r="E252" s="9">
        <f>IF(A252&gt;$B$7,"",C252-D252)</f>
        <v/>
      </c>
      <c r="F252" s="9">
        <f>IF(A252&gt;$B$7,"",B252-E252)</f>
        <v/>
      </c>
    </row>
    <row r="253">
      <c r="A253" s="12" t="n">
        <v>234</v>
      </c>
      <c r="B253" s="9">
        <f>IF(A253&gt;$B$7,"",F252)</f>
        <v/>
      </c>
      <c r="C253" s="9">
        <f>IF(A253&gt;$B$7,"",IF(A253=$B$7,B253+D253,$B$11))</f>
        <v/>
      </c>
      <c r="D253" s="9">
        <f>IF(A253&gt;$B$7,"",ROUND(B253*$B$10,2))</f>
        <v/>
      </c>
      <c r="E253" s="9">
        <f>IF(A253&gt;$B$7,"",C253-D253)</f>
        <v/>
      </c>
      <c r="F253" s="9">
        <f>IF(A253&gt;$B$7,"",B253-E253)</f>
        <v/>
      </c>
    </row>
    <row r="254">
      <c r="A254" s="12" t="n">
        <v>235</v>
      </c>
      <c r="B254" s="9">
        <f>IF(A254&gt;$B$7,"",F253)</f>
        <v/>
      </c>
      <c r="C254" s="9">
        <f>IF(A254&gt;$B$7,"",IF(A254=$B$7,B254+D254,$B$11))</f>
        <v/>
      </c>
      <c r="D254" s="9">
        <f>IF(A254&gt;$B$7,"",ROUND(B254*$B$10,2))</f>
        <v/>
      </c>
      <c r="E254" s="9">
        <f>IF(A254&gt;$B$7,"",C254-D254)</f>
        <v/>
      </c>
      <c r="F254" s="9">
        <f>IF(A254&gt;$B$7,"",B254-E254)</f>
        <v/>
      </c>
    </row>
    <row r="255">
      <c r="A255" s="12" t="n">
        <v>236</v>
      </c>
      <c r="B255" s="9">
        <f>IF(A255&gt;$B$7,"",F254)</f>
        <v/>
      </c>
      <c r="C255" s="9">
        <f>IF(A255&gt;$B$7,"",IF(A255=$B$7,B255+D255,$B$11))</f>
        <v/>
      </c>
      <c r="D255" s="9">
        <f>IF(A255&gt;$B$7,"",ROUND(B255*$B$10,2))</f>
        <v/>
      </c>
      <c r="E255" s="9">
        <f>IF(A255&gt;$B$7,"",C255-D255)</f>
        <v/>
      </c>
      <c r="F255" s="9">
        <f>IF(A255&gt;$B$7,"",B255-E255)</f>
        <v/>
      </c>
    </row>
    <row r="256">
      <c r="A256" s="12" t="n">
        <v>237</v>
      </c>
      <c r="B256" s="9">
        <f>IF(A256&gt;$B$7,"",F255)</f>
        <v/>
      </c>
      <c r="C256" s="9">
        <f>IF(A256&gt;$B$7,"",IF(A256=$B$7,B256+D256,$B$11))</f>
        <v/>
      </c>
      <c r="D256" s="9">
        <f>IF(A256&gt;$B$7,"",ROUND(B256*$B$10,2))</f>
        <v/>
      </c>
      <c r="E256" s="9">
        <f>IF(A256&gt;$B$7,"",C256-D256)</f>
        <v/>
      </c>
      <c r="F256" s="9">
        <f>IF(A256&gt;$B$7,"",B256-E256)</f>
        <v/>
      </c>
    </row>
    <row r="257">
      <c r="A257" s="12" t="n">
        <v>238</v>
      </c>
      <c r="B257" s="9">
        <f>IF(A257&gt;$B$7,"",F256)</f>
        <v/>
      </c>
      <c r="C257" s="9">
        <f>IF(A257&gt;$B$7,"",IF(A257=$B$7,B257+D257,$B$11))</f>
        <v/>
      </c>
      <c r="D257" s="9">
        <f>IF(A257&gt;$B$7,"",ROUND(B257*$B$10,2))</f>
        <v/>
      </c>
      <c r="E257" s="9">
        <f>IF(A257&gt;$B$7,"",C257-D257)</f>
        <v/>
      </c>
      <c r="F257" s="9">
        <f>IF(A257&gt;$B$7,"",B257-E257)</f>
        <v/>
      </c>
    </row>
    <row r="258">
      <c r="A258" s="12" t="n">
        <v>239</v>
      </c>
      <c r="B258" s="9">
        <f>IF(A258&gt;$B$7,"",F257)</f>
        <v/>
      </c>
      <c r="C258" s="9">
        <f>IF(A258&gt;$B$7,"",IF(A258=$B$7,B258+D258,$B$11))</f>
        <v/>
      </c>
      <c r="D258" s="9">
        <f>IF(A258&gt;$B$7,"",ROUND(B258*$B$10,2))</f>
        <v/>
      </c>
      <c r="E258" s="9">
        <f>IF(A258&gt;$B$7,"",C258-D258)</f>
        <v/>
      </c>
      <c r="F258" s="9">
        <f>IF(A258&gt;$B$7,"",B258-E258)</f>
        <v/>
      </c>
    </row>
    <row r="259">
      <c r="A259" s="12" t="n">
        <v>240</v>
      </c>
      <c r="B259" s="9">
        <f>IF(A259&gt;$B$7,"",F258)</f>
        <v/>
      </c>
      <c r="C259" s="9">
        <f>IF(A259&gt;$B$7,"",IF(A259=$B$7,B259+D259,$B$11))</f>
        <v/>
      </c>
      <c r="D259" s="9">
        <f>IF(A259&gt;$B$7,"",ROUND(B259*$B$10,2))</f>
        <v/>
      </c>
      <c r="E259" s="9">
        <f>IF(A259&gt;$B$7,"",C259-D259)</f>
        <v/>
      </c>
      <c r="F259" s="9">
        <f>IF(A259&gt;$B$7,"",B259-E259)</f>
        <v/>
      </c>
    </row>
    <row r="260">
      <c r="A260" s="12" t="n">
        <v>241</v>
      </c>
      <c r="B260" s="9">
        <f>IF(A260&gt;$B$7,"",F259)</f>
        <v/>
      </c>
      <c r="C260" s="9">
        <f>IF(A260&gt;$B$7,"",IF(A260=$B$7,B260+D260,$B$11))</f>
        <v/>
      </c>
      <c r="D260" s="9">
        <f>IF(A260&gt;$B$7,"",ROUND(B260*$B$10,2))</f>
        <v/>
      </c>
      <c r="E260" s="9">
        <f>IF(A260&gt;$B$7,"",C260-D260)</f>
        <v/>
      </c>
      <c r="F260" s="9">
        <f>IF(A260&gt;$B$7,"",B260-E260)</f>
        <v/>
      </c>
    </row>
    <row r="261">
      <c r="A261" s="12" t="n">
        <v>242</v>
      </c>
      <c r="B261" s="9">
        <f>IF(A261&gt;$B$7,"",F260)</f>
        <v/>
      </c>
      <c r="C261" s="9">
        <f>IF(A261&gt;$B$7,"",IF(A261=$B$7,B261+D261,$B$11))</f>
        <v/>
      </c>
      <c r="D261" s="9">
        <f>IF(A261&gt;$B$7,"",ROUND(B261*$B$10,2))</f>
        <v/>
      </c>
      <c r="E261" s="9">
        <f>IF(A261&gt;$B$7,"",C261-D261)</f>
        <v/>
      </c>
      <c r="F261" s="9">
        <f>IF(A261&gt;$B$7,"",B261-E261)</f>
        <v/>
      </c>
    </row>
    <row r="262">
      <c r="A262" s="12" t="n">
        <v>243</v>
      </c>
      <c r="B262" s="9">
        <f>IF(A262&gt;$B$7,"",F261)</f>
        <v/>
      </c>
      <c r="C262" s="9">
        <f>IF(A262&gt;$B$7,"",IF(A262=$B$7,B262+D262,$B$11))</f>
        <v/>
      </c>
      <c r="D262" s="9">
        <f>IF(A262&gt;$B$7,"",ROUND(B262*$B$10,2))</f>
        <v/>
      </c>
      <c r="E262" s="9">
        <f>IF(A262&gt;$B$7,"",C262-D262)</f>
        <v/>
      </c>
      <c r="F262" s="9">
        <f>IF(A262&gt;$B$7,"",B262-E262)</f>
        <v/>
      </c>
    </row>
    <row r="263">
      <c r="A263" s="12" t="n">
        <v>244</v>
      </c>
      <c r="B263" s="9">
        <f>IF(A263&gt;$B$7,"",F262)</f>
        <v/>
      </c>
      <c r="C263" s="9">
        <f>IF(A263&gt;$B$7,"",IF(A263=$B$7,B263+D263,$B$11))</f>
        <v/>
      </c>
      <c r="D263" s="9">
        <f>IF(A263&gt;$B$7,"",ROUND(B263*$B$10,2))</f>
        <v/>
      </c>
      <c r="E263" s="9">
        <f>IF(A263&gt;$B$7,"",C263-D263)</f>
        <v/>
      </c>
      <c r="F263" s="9">
        <f>IF(A263&gt;$B$7,"",B263-E263)</f>
        <v/>
      </c>
    </row>
    <row r="264">
      <c r="A264" s="12" t="n">
        <v>245</v>
      </c>
      <c r="B264" s="9">
        <f>IF(A264&gt;$B$7,"",F263)</f>
        <v/>
      </c>
      <c r="C264" s="9">
        <f>IF(A264&gt;$B$7,"",IF(A264=$B$7,B264+D264,$B$11))</f>
        <v/>
      </c>
      <c r="D264" s="9">
        <f>IF(A264&gt;$B$7,"",ROUND(B264*$B$10,2))</f>
        <v/>
      </c>
      <c r="E264" s="9">
        <f>IF(A264&gt;$B$7,"",C264-D264)</f>
        <v/>
      </c>
      <c r="F264" s="9">
        <f>IF(A264&gt;$B$7,"",B264-E264)</f>
        <v/>
      </c>
    </row>
    <row r="265">
      <c r="A265" s="12" t="n">
        <v>246</v>
      </c>
      <c r="B265" s="9">
        <f>IF(A265&gt;$B$7,"",F264)</f>
        <v/>
      </c>
      <c r="C265" s="9">
        <f>IF(A265&gt;$B$7,"",IF(A265=$B$7,B265+D265,$B$11))</f>
        <v/>
      </c>
      <c r="D265" s="9">
        <f>IF(A265&gt;$B$7,"",ROUND(B265*$B$10,2))</f>
        <v/>
      </c>
      <c r="E265" s="9">
        <f>IF(A265&gt;$B$7,"",C265-D265)</f>
        <v/>
      </c>
      <c r="F265" s="9">
        <f>IF(A265&gt;$B$7,"",B265-E265)</f>
        <v/>
      </c>
    </row>
    <row r="266">
      <c r="A266" s="12" t="n">
        <v>247</v>
      </c>
      <c r="B266" s="9">
        <f>IF(A266&gt;$B$7,"",F265)</f>
        <v/>
      </c>
      <c r="C266" s="9">
        <f>IF(A266&gt;$B$7,"",IF(A266=$B$7,B266+D266,$B$11))</f>
        <v/>
      </c>
      <c r="D266" s="9">
        <f>IF(A266&gt;$B$7,"",ROUND(B266*$B$10,2))</f>
        <v/>
      </c>
      <c r="E266" s="9">
        <f>IF(A266&gt;$B$7,"",C266-D266)</f>
        <v/>
      </c>
      <c r="F266" s="9">
        <f>IF(A266&gt;$B$7,"",B266-E266)</f>
        <v/>
      </c>
    </row>
    <row r="267">
      <c r="A267" s="12" t="n">
        <v>248</v>
      </c>
      <c r="B267" s="9">
        <f>IF(A267&gt;$B$7,"",F266)</f>
        <v/>
      </c>
      <c r="C267" s="9">
        <f>IF(A267&gt;$B$7,"",IF(A267=$B$7,B267+D267,$B$11))</f>
        <v/>
      </c>
      <c r="D267" s="9">
        <f>IF(A267&gt;$B$7,"",ROUND(B267*$B$10,2))</f>
        <v/>
      </c>
      <c r="E267" s="9">
        <f>IF(A267&gt;$B$7,"",C267-D267)</f>
        <v/>
      </c>
      <c r="F267" s="9">
        <f>IF(A267&gt;$B$7,"",B267-E267)</f>
        <v/>
      </c>
    </row>
    <row r="268">
      <c r="A268" s="12" t="n">
        <v>249</v>
      </c>
      <c r="B268" s="9">
        <f>IF(A268&gt;$B$7,"",F267)</f>
        <v/>
      </c>
      <c r="C268" s="9">
        <f>IF(A268&gt;$B$7,"",IF(A268=$B$7,B268+D268,$B$11))</f>
        <v/>
      </c>
      <c r="D268" s="9">
        <f>IF(A268&gt;$B$7,"",ROUND(B268*$B$10,2))</f>
        <v/>
      </c>
      <c r="E268" s="9">
        <f>IF(A268&gt;$B$7,"",C268-D268)</f>
        <v/>
      </c>
      <c r="F268" s="9">
        <f>IF(A268&gt;$B$7,"",B268-E268)</f>
        <v/>
      </c>
    </row>
    <row r="269">
      <c r="A269" s="12" t="n">
        <v>250</v>
      </c>
      <c r="B269" s="9">
        <f>IF(A269&gt;$B$7,"",F268)</f>
        <v/>
      </c>
      <c r="C269" s="9">
        <f>IF(A269&gt;$B$7,"",IF(A269=$B$7,B269+D269,$B$11))</f>
        <v/>
      </c>
      <c r="D269" s="9">
        <f>IF(A269&gt;$B$7,"",ROUND(B269*$B$10,2))</f>
        <v/>
      </c>
      <c r="E269" s="9">
        <f>IF(A269&gt;$B$7,"",C269-D269)</f>
        <v/>
      </c>
      <c r="F269" s="9">
        <f>IF(A269&gt;$B$7,"",B269-E269)</f>
        <v/>
      </c>
    </row>
    <row r="270">
      <c r="A270" s="12" t="n">
        <v>251</v>
      </c>
      <c r="B270" s="9">
        <f>IF(A270&gt;$B$7,"",F269)</f>
        <v/>
      </c>
      <c r="C270" s="9">
        <f>IF(A270&gt;$B$7,"",IF(A270=$B$7,B270+D270,$B$11))</f>
        <v/>
      </c>
      <c r="D270" s="9">
        <f>IF(A270&gt;$B$7,"",ROUND(B270*$B$10,2))</f>
        <v/>
      </c>
      <c r="E270" s="9">
        <f>IF(A270&gt;$B$7,"",C270-D270)</f>
        <v/>
      </c>
      <c r="F270" s="9">
        <f>IF(A270&gt;$B$7,"",B270-E270)</f>
        <v/>
      </c>
    </row>
    <row r="271">
      <c r="A271" s="12" t="n">
        <v>252</v>
      </c>
      <c r="B271" s="9">
        <f>IF(A271&gt;$B$7,"",F270)</f>
        <v/>
      </c>
      <c r="C271" s="9">
        <f>IF(A271&gt;$B$7,"",IF(A271=$B$7,B271+D271,$B$11))</f>
        <v/>
      </c>
      <c r="D271" s="9">
        <f>IF(A271&gt;$B$7,"",ROUND(B271*$B$10,2))</f>
        <v/>
      </c>
      <c r="E271" s="9">
        <f>IF(A271&gt;$B$7,"",C271-D271)</f>
        <v/>
      </c>
      <c r="F271" s="9">
        <f>IF(A271&gt;$B$7,"",B271-E271)</f>
        <v/>
      </c>
    </row>
    <row r="272">
      <c r="A272" s="12" t="n">
        <v>253</v>
      </c>
      <c r="B272" s="9">
        <f>IF(A272&gt;$B$7,"",F271)</f>
        <v/>
      </c>
      <c r="C272" s="9">
        <f>IF(A272&gt;$B$7,"",IF(A272=$B$7,B272+D272,$B$11))</f>
        <v/>
      </c>
      <c r="D272" s="9">
        <f>IF(A272&gt;$B$7,"",ROUND(B272*$B$10,2))</f>
        <v/>
      </c>
      <c r="E272" s="9">
        <f>IF(A272&gt;$B$7,"",C272-D272)</f>
        <v/>
      </c>
      <c r="F272" s="9">
        <f>IF(A272&gt;$B$7,"",B272-E272)</f>
        <v/>
      </c>
    </row>
    <row r="273">
      <c r="A273" s="12" t="n">
        <v>254</v>
      </c>
      <c r="B273" s="9">
        <f>IF(A273&gt;$B$7,"",F272)</f>
        <v/>
      </c>
      <c r="C273" s="9">
        <f>IF(A273&gt;$B$7,"",IF(A273=$B$7,B273+D273,$B$11))</f>
        <v/>
      </c>
      <c r="D273" s="9">
        <f>IF(A273&gt;$B$7,"",ROUND(B273*$B$10,2))</f>
        <v/>
      </c>
      <c r="E273" s="9">
        <f>IF(A273&gt;$B$7,"",C273-D273)</f>
        <v/>
      </c>
      <c r="F273" s="9">
        <f>IF(A273&gt;$B$7,"",B273-E273)</f>
        <v/>
      </c>
    </row>
    <row r="274">
      <c r="A274" s="12" t="n">
        <v>255</v>
      </c>
      <c r="B274" s="9">
        <f>IF(A274&gt;$B$7,"",F273)</f>
        <v/>
      </c>
      <c r="C274" s="9">
        <f>IF(A274&gt;$B$7,"",IF(A274=$B$7,B274+D274,$B$11))</f>
        <v/>
      </c>
      <c r="D274" s="9">
        <f>IF(A274&gt;$B$7,"",ROUND(B274*$B$10,2))</f>
        <v/>
      </c>
      <c r="E274" s="9">
        <f>IF(A274&gt;$B$7,"",C274-D274)</f>
        <v/>
      </c>
      <c r="F274" s="9">
        <f>IF(A274&gt;$B$7,"",B274-E274)</f>
        <v/>
      </c>
    </row>
    <row r="275">
      <c r="A275" s="12" t="n">
        <v>256</v>
      </c>
      <c r="B275" s="9">
        <f>IF(A275&gt;$B$7,"",F274)</f>
        <v/>
      </c>
      <c r="C275" s="9">
        <f>IF(A275&gt;$B$7,"",IF(A275=$B$7,B275+D275,$B$11))</f>
        <v/>
      </c>
      <c r="D275" s="9">
        <f>IF(A275&gt;$B$7,"",ROUND(B275*$B$10,2))</f>
        <v/>
      </c>
      <c r="E275" s="9">
        <f>IF(A275&gt;$B$7,"",C275-D275)</f>
        <v/>
      </c>
      <c r="F275" s="9">
        <f>IF(A275&gt;$B$7,"",B275-E275)</f>
        <v/>
      </c>
    </row>
    <row r="276">
      <c r="A276" s="12" t="n">
        <v>257</v>
      </c>
      <c r="B276" s="9">
        <f>IF(A276&gt;$B$7,"",F275)</f>
        <v/>
      </c>
      <c r="C276" s="9">
        <f>IF(A276&gt;$B$7,"",IF(A276=$B$7,B276+D276,$B$11))</f>
        <v/>
      </c>
      <c r="D276" s="9">
        <f>IF(A276&gt;$B$7,"",ROUND(B276*$B$10,2))</f>
        <v/>
      </c>
      <c r="E276" s="9">
        <f>IF(A276&gt;$B$7,"",C276-D276)</f>
        <v/>
      </c>
      <c r="F276" s="9">
        <f>IF(A276&gt;$B$7,"",B276-E276)</f>
        <v/>
      </c>
    </row>
    <row r="277">
      <c r="A277" s="12" t="n">
        <v>258</v>
      </c>
      <c r="B277" s="9">
        <f>IF(A277&gt;$B$7,"",F276)</f>
        <v/>
      </c>
      <c r="C277" s="9">
        <f>IF(A277&gt;$B$7,"",IF(A277=$B$7,B277+D277,$B$11))</f>
        <v/>
      </c>
      <c r="D277" s="9">
        <f>IF(A277&gt;$B$7,"",ROUND(B277*$B$10,2))</f>
        <v/>
      </c>
      <c r="E277" s="9">
        <f>IF(A277&gt;$B$7,"",C277-D277)</f>
        <v/>
      </c>
      <c r="F277" s="9">
        <f>IF(A277&gt;$B$7,"",B277-E277)</f>
        <v/>
      </c>
    </row>
    <row r="278">
      <c r="A278" s="12" t="n">
        <v>259</v>
      </c>
      <c r="B278" s="9">
        <f>IF(A278&gt;$B$7,"",F277)</f>
        <v/>
      </c>
      <c r="C278" s="9">
        <f>IF(A278&gt;$B$7,"",IF(A278=$B$7,B278+D278,$B$11))</f>
        <v/>
      </c>
      <c r="D278" s="9">
        <f>IF(A278&gt;$B$7,"",ROUND(B278*$B$10,2))</f>
        <v/>
      </c>
      <c r="E278" s="9">
        <f>IF(A278&gt;$B$7,"",C278-D278)</f>
        <v/>
      </c>
      <c r="F278" s="9">
        <f>IF(A278&gt;$B$7,"",B278-E278)</f>
        <v/>
      </c>
    </row>
    <row r="279">
      <c r="A279" s="12" t="n">
        <v>260</v>
      </c>
      <c r="B279" s="9">
        <f>IF(A279&gt;$B$7,"",F278)</f>
        <v/>
      </c>
      <c r="C279" s="9">
        <f>IF(A279&gt;$B$7,"",IF(A279=$B$7,B279+D279,$B$11))</f>
        <v/>
      </c>
      <c r="D279" s="9">
        <f>IF(A279&gt;$B$7,"",ROUND(B279*$B$10,2))</f>
        <v/>
      </c>
      <c r="E279" s="9">
        <f>IF(A279&gt;$B$7,"",C279-D279)</f>
        <v/>
      </c>
      <c r="F279" s="9">
        <f>IF(A279&gt;$B$7,"",B279-E279)</f>
        <v/>
      </c>
    </row>
    <row r="280">
      <c r="A280" s="12" t="n">
        <v>261</v>
      </c>
      <c r="B280" s="9">
        <f>IF(A280&gt;$B$7,"",F279)</f>
        <v/>
      </c>
      <c r="C280" s="9">
        <f>IF(A280&gt;$B$7,"",IF(A280=$B$7,B280+D280,$B$11))</f>
        <v/>
      </c>
      <c r="D280" s="9">
        <f>IF(A280&gt;$B$7,"",ROUND(B280*$B$10,2))</f>
        <v/>
      </c>
      <c r="E280" s="9">
        <f>IF(A280&gt;$B$7,"",C280-D280)</f>
        <v/>
      </c>
      <c r="F280" s="9">
        <f>IF(A280&gt;$B$7,"",B280-E280)</f>
        <v/>
      </c>
    </row>
    <row r="281">
      <c r="A281" s="12" t="n">
        <v>262</v>
      </c>
      <c r="B281" s="9">
        <f>IF(A281&gt;$B$7,"",F280)</f>
        <v/>
      </c>
      <c r="C281" s="9">
        <f>IF(A281&gt;$B$7,"",IF(A281=$B$7,B281+D281,$B$11))</f>
        <v/>
      </c>
      <c r="D281" s="9">
        <f>IF(A281&gt;$B$7,"",ROUND(B281*$B$10,2))</f>
        <v/>
      </c>
      <c r="E281" s="9">
        <f>IF(A281&gt;$B$7,"",C281-D281)</f>
        <v/>
      </c>
      <c r="F281" s="9">
        <f>IF(A281&gt;$B$7,"",B281-E281)</f>
        <v/>
      </c>
    </row>
    <row r="282">
      <c r="A282" s="12" t="n">
        <v>263</v>
      </c>
      <c r="B282" s="9">
        <f>IF(A282&gt;$B$7,"",F281)</f>
        <v/>
      </c>
      <c r="C282" s="9">
        <f>IF(A282&gt;$B$7,"",IF(A282=$B$7,B282+D282,$B$11))</f>
        <v/>
      </c>
      <c r="D282" s="9">
        <f>IF(A282&gt;$B$7,"",ROUND(B282*$B$10,2))</f>
        <v/>
      </c>
      <c r="E282" s="9">
        <f>IF(A282&gt;$B$7,"",C282-D282)</f>
        <v/>
      </c>
      <c r="F282" s="9">
        <f>IF(A282&gt;$B$7,"",B282-E282)</f>
        <v/>
      </c>
    </row>
    <row r="283">
      <c r="A283" s="12" t="n">
        <v>264</v>
      </c>
      <c r="B283" s="9">
        <f>IF(A283&gt;$B$7,"",F282)</f>
        <v/>
      </c>
      <c r="C283" s="9">
        <f>IF(A283&gt;$B$7,"",IF(A283=$B$7,B283+D283,$B$11))</f>
        <v/>
      </c>
      <c r="D283" s="9">
        <f>IF(A283&gt;$B$7,"",ROUND(B283*$B$10,2))</f>
        <v/>
      </c>
      <c r="E283" s="9">
        <f>IF(A283&gt;$B$7,"",C283-D283)</f>
        <v/>
      </c>
      <c r="F283" s="9">
        <f>IF(A283&gt;$B$7,"",B283-E283)</f>
        <v/>
      </c>
    </row>
    <row r="284">
      <c r="A284" s="12" t="n">
        <v>265</v>
      </c>
      <c r="B284" s="9">
        <f>IF(A284&gt;$B$7,"",F283)</f>
        <v/>
      </c>
      <c r="C284" s="9">
        <f>IF(A284&gt;$B$7,"",IF(A284=$B$7,B284+D284,$B$11))</f>
        <v/>
      </c>
      <c r="D284" s="9">
        <f>IF(A284&gt;$B$7,"",ROUND(B284*$B$10,2))</f>
        <v/>
      </c>
      <c r="E284" s="9">
        <f>IF(A284&gt;$B$7,"",C284-D284)</f>
        <v/>
      </c>
      <c r="F284" s="9">
        <f>IF(A284&gt;$B$7,"",B284-E284)</f>
        <v/>
      </c>
    </row>
    <row r="285">
      <c r="A285" s="12" t="n">
        <v>266</v>
      </c>
      <c r="B285" s="9">
        <f>IF(A285&gt;$B$7,"",F284)</f>
        <v/>
      </c>
      <c r="C285" s="9">
        <f>IF(A285&gt;$B$7,"",IF(A285=$B$7,B285+D285,$B$11))</f>
        <v/>
      </c>
      <c r="D285" s="9">
        <f>IF(A285&gt;$B$7,"",ROUND(B285*$B$10,2))</f>
        <v/>
      </c>
      <c r="E285" s="9">
        <f>IF(A285&gt;$B$7,"",C285-D285)</f>
        <v/>
      </c>
      <c r="F285" s="9">
        <f>IF(A285&gt;$B$7,"",B285-E285)</f>
        <v/>
      </c>
    </row>
    <row r="286">
      <c r="A286" s="12" t="n">
        <v>267</v>
      </c>
      <c r="B286" s="9">
        <f>IF(A286&gt;$B$7,"",F285)</f>
        <v/>
      </c>
      <c r="C286" s="9">
        <f>IF(A286&gt;$B$7,"",IF(A286=$B$7,B286+D286,$B$11))</f>
        <v/>
      </c>
      <c r="D286" s="9">
        <f>IF(A286&gt;$B$7,"",ROUND(B286*$B$10,2))</f>
        <v/>
      </c>
      <c r="E286" s="9">
        <f>IF(A286&gt;$B$7,"",C286-D286)</f>
        <v/>
      </c>
      <c r="F286" s="9">
        <f>IF(A286&gt;$B$7,"",B286-E286)</f>
        <v/>
      </c>
    </row>
    <row r="287">
      <c r="A287" s="12" t="n">
        <v>268</v>
      </c>
      <c r="B287" s="9">
        <f>IF(A287&gt;$B$7,"",F286)</f>
        <v/>
      </c>
      <c r="C287" s="9">
        <f>IF(A287&gt;$B$7,"",IF(A287=$B$7,B287+D287,$B$11))</f>
        <v/>
      </c>
      <c r="D287" s="9">
        <f>IF(A287&gt;$B$7,"",ROUND(B287*$B$10,2))</f>
        <v/>
      </c>
      <c r="E287" s="9">
        <f>IF(A287&gt;$B$7,"",C287-D287)</f>
        <v/>
      </c>
      <c r="F287" s="9">
        <f>IF(A287&gt;$B$7,"",B287-E287)</f>
        <v/>
      </c>
    </row>
    <row r="288">
      <c r="A288" s="12" t="n">
        <v>269</v>
      </c>
      <c r="B288" s="9">
        <f>IF(A288&gt;$B$7,"",F287)</f>
        <v/>
      </c>
      <c r="C288" s="9">
        <f>IF(A288&gt;$B$7,"",IF(A288=$B$7,B288+D288,$B$11))</f>
        <v/>
      </c>
      <c r="D288" s="9">
        <f>IF(A288&gt;$B$7,"",ROUND(B288*$B$10,2))</f>
        <v/>
      </c>
      <c r="E288" s="9">
        <f>IF(A288&gt;$B$7,"",C288-D288)</f>
        <v/>
      </c>
      <c r="F288" s="9">
        <f>IF(A288&gt;$B$7,"",B288-E288)</f>
        <v/>
      </c>
    </row>
    <row r="289">
      <c r="A289" s="12" t="n">
        <v>270</v>
      </c>
      <c r="B289" s="9">
        <f>IF(A289&gt;$B$7,"",F288)</f>
        <v/>
      </c>
      <c r="C289" s="9">
        <f>IF(A289&gt;$B$7,"",IF(A289=$B$7,B289+D289,$B$11))</f>
        <v/>
      </c>
      <c r="D289" s="9">
        <f>IF(A289&gt;$B$7,"",ROUND(B289*$B$10,2))</f>
        <v/>
      </c>
      <c r="E289" s="9">
        <f>IF(A289&gt;$B$7,"",C289-D289)</f>
        <v/>
      </c>
      <c r="F289" s="9">
        <f>IF(A289&gt;$B$7,"",B289-E289)</f>
        <v/>
      </c>
    </row>
    <row r="290">
      <c r="A290" s="12" t="n">
        <v>271</v>
      </c>
      <c r="B290" s="9">
        <f>IF(A290&gt;$B$7,"",F289)</f>
        <v/>
      </c>
      <c r="C290" s="9">
        <f>IF(A290&gt;$B$7,"",IF(A290=$B$7,B290+D290,$B$11))</f>
        <v/>
      </c>
      <c r="D290" s="9">
        <f>IF(A290&gt;$B$7,"",ROUND(B290*$B$10,2))</f>
        <v/>
      </c>
      <c r="E290" s="9">
        <f>IF(A290&gt;$B$7,"",C290-D290)</f>
        <v/>
      </c>
      <c r="F290" s="9">
        <f>IF(A290&gt;$B$7,"",B290-E290)</f>
        <v/>
      </c>
    </row>
    <row r="291">
      <c r="A291" s="12" t="n">
        <v>272</v>
      </c>
      <c r="B291" s="9">
        <f>IF(A291&gt;$B$7,"",F290)</f>
        <v/>
      </c>
      <c r="C291" s="9">
        <f>IF(A291&gt;$B$7,"",IF(A291=$B$7,B291+D291,$B$11))</f>
        <v/>
      </c>
      <c r="D291" s="9">
        <f>IF(A291&gt;$B$7,"",ROUND(B291*$B$10,2))</f>
        <v/>
      </c>
      <c r="E291" s="9">
        <f>IF(A291&gt;$B$7,"",C291-D291)</f>
        <v/>
      </c>
      <c r="F291" s="9">
        <f>IF(A291&gt;$B$7,"",B291-E291)</f>
        <v/>
      </c>
    </row>
    <row r="292">
      <c r="A292" s="12" t="n">
        <v>273</v>
      </c>
      <c r="B292" s="9">
        <f>IF(A292&gt;$B$7,"",F291)</f>
        <v/>
      </c>
      <c r="C292" s="9">
        <f>IF(A292&gt;$B$7,"",IF(A292=$B$7,B292+D292,$B$11))</f>
        <v/>
      </c>
      <c r="D292" s="9">
        <f>IF(A292&gt;$B$7,"",ROUND(B292*$B$10,2))</f>
        <v/>
      </c>
      <c r="E292" s="9">
        <f>IF(A292&gt;$B$7,"",C292-D292)</f>
        <v/>
      </c>
      <c r="F292" s="9">
        <f>IF(A292&gt;$B$7,"",B292-E292)</f>
        <v/>
      </c>
    </row>
    <row r="293">
      <c r="A293" s="12" t="n">
        <v>274</v>
      </c>
      <c r="B293" s="9">
        <f>IF(A293&gt;$B$7,"",F292)</f>
        <v/>
      </c>
      <c r="C293" s="9">
        <f>IF(A293&gt;$B$7,"",IF(A293=$B$7,B293+D293,$B$11))</f>
        <v/>
      </c>
      <c r="D293" s="9">
        <f>IF(A293&gt;$B$7,"",ROUND(B293*$B$10,2))</f>
        <v/>
      </c>
      <c r="E293" s="9">
        <f>IF(A293&gt;$B$7,"",C293-D293)</f>
        <v/>
      </c>
      <c r="F293" s="9">
        <f>IF(A293&gt;$B$7,"",B293-E293)</f>
        <v/>
      </c>
    </row>
    <row r="294">
      <c r="A294" s="12" t="n">
        <v>275</v>
      </c>
      <c r="B294" s="9">
        <f>IF(A294&gt;$B$7,"",F293)</f>
        <v/>
      </c>
      <c r="C294" s="9">
        <f>IF(A294&gt;$B$7,"",IF(A294=$B$7,B294+D294,$B$11))</f>
        <v/>
      </c>
      <c r="D294" s="9">
        <f>IF(A294&gt;$B$7,"",ROUND(B294*$B$10,2))</f>
        <v/>
      </c>
      <c r="E294" s="9">
        <f>IF(A294&gt;$B$7,"",C294-D294)</f>
        <v/>
      </c>
      <c r="F294" s="9">
        <f>IF(A294&gt;$B$7,"",B294-E294)</f>
        <v/>
      </c>
    </row>
    <row r="295">
      <c r="A295" s="12" t="n">
        <v>276</v>
      </c>
      <c r="B295" s="9">
        <f>IF(A295&gt;$B$7,"",F294)</f>
        <v/>
      </c>
      <c r="C295" s="9">
        <f>IF(A295&gt;$B$7,"",IF(A295=$B$7,B295+D295,$B$11))</f>
        <v/>
      </c>
      <c r="D295" s="9">
        <f>IF(A295&gt;$B$7,"",ROUND(B295*$B$10,2))</f>
        <v/>
      </c>
      <c r="E295" s="9">
        <f>IF(A295&gt;$B$7,"",C295-D295)</f>
        <v/>
      </c>
      <c r="F295" s="9">
        <f>IF(A295&gt;$B$7,"",B295-E295)</f>
        <v/>
      </c>
    </row>
    <row r="296">
      <c r="A296" s="12" t="n">
        <v>277</v>
      </c>
      <c r="B296" s="9">
        <f>IF(A296&gt;$B$7,"",F295)</f>
        <v/>
      </c>
      <c r="C296" s="9">
        <f>IF(A296&gt;$B$7,"",IF(A296=$B$7,B296+D296,$B$11))</f>
        <v/>
      </c>
      <c r="D296" s="9">
        <f>IF(A296&gt;$B$7,"",ROUND(B296*$B$10,2))</f>
        <v/>
      </c>
      <c r="E296" s="9">
        <f>IF(A296&gt;$B$7,"",C296-D296)</f>
        <v/>
      </c>
      <c r="F296" s="9">
        <f>IF(A296&gt;$B$7,"",B296-E296)</f>
        <v/>
      </c>
    </row>
    <row r="297">
      <c r="A297" s="12" t="n">
        <v>278</v>
      </c>
      <c r="B297" s="9">
        <f>IF(A297&gt;$B$7,"",F296)</f>
        <v/>
      </c>
      <c r="C297" s="9">
        <f>IF(A297&gt;$B$7,"",IF(A297=$B$7,B297+D297,$B$11))</f>
        <v/>
      </c>
      <c r="D297" s="9">
        <f>IF(A297&gt;$B$7,"",ROUND(B297*$B$10,2))</f>
        <v/>
      </c>
      <c r="E297" s="9">
        <f>IF(A297&gt;$B$7,"",C297-D297)</f>
        <v/>
      </c>
      <c r="F297" s="9">
        <f>IF(A297&gt;$B$7,"",B297-E297)</f>
        <v/>
      </c>
    </row>
    <row r="298">
      <c r="A298" s="12" t="n">
        <v>279</v>
      </c>
      <c r="B298" s="9">
        <f>IF(A298&gt;$B$7,"",F297)</f>
        <v/>
      </c>
      <c r="C298" s="9">
        <f>IF(A298&gt;$B$7,"",IF(A298=$B$7,B298+D298,$B$11))</f>
        <v/>
      </c>
      <c r="D298" s="9">
        <f>IF(A298&gt;$B$7,"",ROUND(B298*$B$10,2))</f>
        <v/>
      </c>
      <c r="E298" s="9">
        <f>IF(A298&gt;$B$7,"",C298-D298)</f>
        <v/>
      </c>
      <c r="F298" s="9">
        <f>IF(A298&gt;$B$7,"",B298-E298)</f>
        <v/>
      </c>
    </row>
    <row r="299">
      <c r="A299" s="12" t="n">
        <v>280</v>
      </c>
      <c r="B299" s="9">
        <f>IF(A299&gt;$B$7,"",F298)</f>
        <v/>
      </c>
      <c r="C299" s="9">
        <f>IF(A299&gt;$B$7,"",IF(A299=$B$7,B299+D299,$B$11))</f>
        <v/>
      </c>
      <c r="D299" s="9">
        <f>IF(A299&gt;$B$7,"",ROUND(B299*$B$10,2))</f>
        <v/>
      </c>
      <c r="E299" s="9">
        <f>IF(A299&gt;$B$7,"",C299-D299)</f>
        <v/>
      </c>
      <c r="F299" s="9">
        <f>IF(A299&gt;$B$7,"",B299-E299)</f>
        <v/>
      </c>
    </row>
    <row r="300">
      <c r="A300" s="12" t="n">
        <v>281</v>
      </c>
      <c r="B300" s="9">
        <f>IF(A300&gt;$B$7,"",F299)</f>
        <v/>
      </c>
      <c r="C300" s="9">
        <f>IF(A300&gt;$B$7,"",IF(A300=$B$7,B300+D300,$B$11))</f>
        <v/>
      </c>
      <c r="D300" s="9">
        <f>IF(A300&gt;$B$7,"",ROUND(B300*$B$10,2))</f>
        <v/>
      </c>
      <c r="E300" s="9">
        <f>IF(A300&gt;$B$7,"",C300-D300)</f>
        <v/>
      </c>
      <c r="F300" s="9">
        <f>IF(A300&gt;$B$7,"",B300-E300)</f>
        <v/>
      </c>
    </row>
    <row r="301">
      <c r="A301" s="12" t="n">
        <v>282</v>
      </c>
      <c r="B301" s="9">
        <f>IF(A301&gt;$B$7,"",F300)</f>
        <v/>
      </c>
      <c r="C301" s="9">
        <f>IF(A301&gt;$B$7,"",IF(A301=$B$7,B301+D301,$B$11))</f>
        <v/>
      </c>
      <c r="D301" s="9">
        <f>IF(A301&gt;$B$7,"",ROUND(B301*$B$10,2))</f>
        <v/>
      </c>
      <c r="E301" s="9">
        <f>IF(A301&gt;$B$7,"",C301-D301)</f>
        <v/>
      </c>
      <c r="F301" s="9">
        <f>IF(A301&gt;$B$7,"",B301-E301)</f>
        <v/>
      </c>
    </row>
    <row r="302">
      <c r="A302" s="12" t="n">
        <v>283</v>
      </c>
      <c r="B302" s="9">
        <f>IF(A302&gt;$B$7,"",F301)</f>
        <v/>
      </c>
      <c r="C302" s="9">
        <f>IF(A302&gt;$B$7,"",IF(A302=$B$7,B302+D302,$B$11))</f>
        <v/>
      </c>
      <c r="D302" s="9">
        <f>IF(A302&gt;$B$7,"",ROUND(B302*$B$10,2))</f>
        <v/>
      </c>
      <c r="E302" s="9">
        <f>IF(A302&gt;$B$7,"",C302-D302)</f>
        <v/>
      </c>
      <c r="F302" s="9">
        <f>IF(A302&gt;$B$7,"",B302-E302)</f>
        <v/>
      </c>
    </row>
    <row r="303">
      <c r="A303" s="12" t="n">
        <v>284</v>
      </c>
      <c r="B303" s="9">
        <f>IF(A303&gt;$B$7,"",F302)</f>
        <v/>
      </c>
      <c r="C303" s="9">
        <f>IF(A303&gt;$B$7,"",IF(A303=$B$7,B303+D303,$B$11))</f>
        <v/>
      </c>
      <c r="D303" s="9">
        <f>IF(A303&gt;$B$7,"",ROUND(B303*$B$10,2))</f>
        <v/>
      </c>
      <c r="E303" s="9">
        <f>IF(A303&gt;$B$7,"",C303-D303)</f>
        <v/>
      </c>
      <c r="F303" s="9">
        <f>IF(A303&gt;$B$7,"",B303-E303)</f>
        <v/>
      </c>
    </row>
    <row r="304">
      <c r="A304" s="12" t="n">
        <v>285</v>
      </c>
      <c r="B304" s="9">
        <f>IF(A304&gt;$B$7,"",F303)</f>
        <v/>
      </c>
      <c r="C304" s="9">
        <f>IF(A304&gt;$B$7,"",IF(A304=$B$7,B304+D304,$B$11))</f>
        <v/>
      </c>
      <c r="D304" s="9">
        <f>IF(A304&gt;$B$7,"",ROUND(B304*$B$10,2))</f>
        <v/>
      </c>
      <c r="E304" s="9">
        <f>IF(A304&gt;$B$7,"",C304-D304)</f>
        <v/>
      </c>
      <c r="F304" s="9">
        <f>IF(A304&gt;$B$7,"",B304-E304)</f>
        <v/>
      </c>
    </row>
    <row r="305">
      <c r="A305" s="12" t="n">
        <v>286</v>
      </c>
      <c r="B305" s="9">
        <f>IF(A305&gt;$B$7,"",F304)</f>
        <v/>
      </c>
      <c r="C305" s="9">
        <f>IF(A305&gt;$B$7,"",IF(A305=$B$7,B305+D305,$B$11))</f>
        <v/>
      </c>
      <c r="D305" s="9">
        <f>IF(A305&gt;$B$7,"",ROUND(B305*$B$10,2))</f>
        <v/>
      </c>
      <c r="E305" s="9">
        <f>IF(A305&gt;$B$7,"",C305-D305)</f>
        <v/>
      </c>
      <c r="F305" s="9">
        <f>IF(A305&gt;$B$7,"",B305-E305)</f>
        <v/>
      </c>
    </row>
    <row r="306">
      <c r="A306" s="12" t="n">
        <v>287</v>
      </c>
      <c r="B306" s="9">
        <f>IF(A306&gt;$B$7,"",F305)</f>
        <v/>
      </c>
      <c r="C306" s="9">
        <f>IF(A306&gt;$B$7,"",IF(A306=$B$7,B306+D306,$B$11))</f>
        <v/>
      </c>
      <c r="D306" s="9">
        <f>IF(A306&gt;$B$7,"",ROUND(B306*$B$10,2))</f>
        <v/>
      </c>
      <c r="E306" s="9">
        <f>IF(A306&gt;$B$7,"",C306-D306)</f>
        <v/>
      </c>
      <c r="F306" s="9">
        <f>IF(A306&gt;$B$7,"",B306-E306)</f>
        <v/>
      </c>
    </row>
    <row r="307">
      <c r="A307" s="12" t="n">
        <v>288</v>
      </c>
      <c r="B307" s="9">
        <f>IF(A307&gt;$B$7,"",F306)</f>
        <v/>
      </c>
      <c r="C307" s="9">
        <f>IF(A307&gt;$B$7,"",IF(A307=$B$7,B307+D307,$B$11))</f>
        <v/>
      </c>
      <c r="D307" s="9">
        <f>IF(A307&gt;$B$7,"",ROUND(B307*$B$10,2))</f>
        <v/>
      </c>
      <c r="E307" s="9">
        <f>IF(A307&gt;$B$7,"",C307-D307)</f>
        <v/>
      </c>
      <c r="F307" s="9">
        <f>IF(A307&gt;$B$7,"",B307-E307)</f>
        <v/>
      </c>
    </row>
    <row r="308">
      <c r="A308" s="12" t="n">
        <v>289</v>
      </c>
      <c r="B308" s="9">
        <f>IF(A308&gt;$B$7,"",F307)</f>
        <v/>
      </c>
      <c r="C308" s="9">
        <f>IF(A308&gt;$B$7,"",IF(A308=$B$7,B308+D308,$B$11))</f>
        <v/>
      </c>
      <c r="D308" s="9">
        <f>IF(A308&gt;$B$7,"",ROUND(B308*$B$10,2))</f>
        <v/>
      </c>
      <c r="E308" s="9">
        <f>IF(A308&gt;$B$7,"",C308-D308)</f>
        <v/>
      </c>
      <c r="F308" s="9">
        <f>IF(A308&gt;$B$7,"",B308-E308)</f>
        <v/>
      </c>
    </row>
    <row r="309">
      <c r="A309" s="12" t="n">
        <v>290</v>
      </c>
      <c r="B309" s="9">
        <f>IF(A309&gt;$B$7,"",F308)</f>
        <v/>
      </c>
      <c r="C309" s="9">
        <f>IF(A309&gt;$B$7,"",IF(A309=$B$7,B309+D309,$B$11))</f>
        <v/>
      </c>
      <c r="D309" s="9">
        <f>IF(A309&gt;$B$7,"",ROUND(B309*$B$10,2))</f>
        <v/>
      </c>
      <c r="E309" s="9">
        <f>IF(A309&gt;$B$7,"",C309-D309)</f>
        <v/>
      </c>
      <c r="F309" s="9">
        <f>IF(A309&gt;$B$7,"",B309-E309)</f>
        <v/>
      </c>
    </row>
    <row r="310">
      <c r="A310" s="12" t="n">
        <v>291</v>
      </c>
      <c r="B310" s="9">
        <f>IF(A310&gt;$B$7,"",F309)</f>
        <v/>
      </c>
      <c r="C310" s="9">
        <f>IF(A310&gt;$B$7,"",IF(A310=$B$7,B310+D310,$B$11))</f>
        <v/>
      </c>
      <c r="D310" s="9">
        <f>IF(A310&gt;$B$7,"",ROUND(B310*$B$10,2))</f>
        <v/>
      </c>
      <c r="E310" s="9">
        <f>IF(A310&gt;$B$7,"",C310-D310)</f>
        <v/>
      </c>
      <c r="F310" s="9">
        <f>IF(A310&gt;$B$7,"",B310-E310)</f>
        <v/>
      </c>
    </row>
    <row r="311">
      <c r="A311" s="12" t="n">
        <v>292</v>
      </c>
      <c r="B311" s="9">
        <f>IF(A311&gt;$B$7,"",F310)</f>
        <v/>
      </c>
      <c r="C311" s="9">
        <f>IF(A311&gt;$B$7,"",IF(A311=$B$7,B311+D311,$B$11))</f>
        <v/>
      </c>
      <c r="D311" s="9">
        <f>IF(A311&gt;$B$7,"",ROUND(B311*$B$10,2))</f>
        <v/>
      </c>
      <c r="E311" s="9">
        <f>IF(A311&gt;$B$7,"",C311-D311)</f>
        <v/>
      </c>
      <c r="F311" s="9">
        <f>IF(A311&gt;$B$7,"",B311-E311)</f>
        <v/>
      </c>
    </row>
    <row r="312">
      <c r="A312" s="12" t="n">
        <v>293</v>
      </c>
      <c r="B312" s="9">
        <f>IF(A312&gt;$B$7,"",F311)</f>
        <v/>
      </c>
      <c r="C312" s="9">
        <f>IF(A312&gt;$B$7,"",IF(A312=$B$7,B312+D312,$B$11))</f>
        <v/>
      </c>
      <c r="D312" s="9">
        <f>IF(A312&gt;$B$7,"",ROUND(B312*$B$10,2))</f>
        <v/>
      </c>
      <c r="E312" s="9">
        <f>IF(A312&gt;$B$7,"",C312-D312)</f>
        <v/>
      </c>
      <c r="F312" s="9">
        <f>IF(A312&gt;$B$7,"",B312-E312)</f>
        <v/>
      </c>
    </row>
    <row r="313">
      <c r="A313" s="12" t="n">
        <v>294</v>
      </c>
      <c r="B313" s="9">
        <f>IF(A313&gt;$B$7,"",F312)</f>
        <v/>
      </c>
      <c r="C313" s="9">
        <f>IF(A313&gt;$B$7,"",IF(A313=$B$7,B313+D313,$B$11))</f>
        <v/>
      </c>
      <c r="D313" s="9">
        <f>IF(A313&gt;$B$7,"",ROUND(B313*$B$10,2))</f>
        <v/>
      </c>
      <c r="E313" s="9">
        <f>IF(A313&gt;$B$7,"",C313-D313)</f>
        <v/>
      </c>
      <c r="F313" s="9">
        <f>IF(A313&gt;$B$7,"",B313-E313)</f>
        <v/>
      </c>
    </row>
    <row r="314">
      <c r="A314" s="12" t="n">
        <v>295</v>
      </c>
      <c r="B314" s="9">
        <f>IF(A314&gt;$B$7,"",F313)</f>
        <v/>
      </c>
      <c r="C314" s="9">
        <f>IF(A314&gt;$B$7,"",IF(A314=$B$7,B314+D314,$B$11))</f>
        <v/>
      </c>
      <c r="D314" s="9">
        <f>IF(A314&gt;$B$7,"",ROUND(B314*$B$10,2))</f>
        <v/>
      </c>
      <c r="E314" s="9">
        <f>IF(A314&gt;$B$7,"",C314-D314)</f>
        <v/>
      </c>
      <c r="F314" s="9">
        <f>IF(A314&gt;$B$7,"",B314-E314)</f>
        <v/>
      </c>
    </row>
    <row r="315">
      <c r="A315" s="12" t="n">
        <v>296</v>
      </c>
      <c r="B315" s="9">
        <f>IF(A315&gt;$B$7,"",F314)</f>
        <v/>
      </c>
      <c r="C315" s="9">
        <f>IF(A315&gt;$B$7,"",IF(A315=$B$7,B315+D315,$B$11))</f>
        <v/>
      </c>
      <c r="D315" s="9">
        <f>IF(A315&gt;$B$7,"",ROUND(B315*$B$10,2))</f>
        <v/>
      </c>
      <c r="E315" s="9">
        <f>IF(A315&gt;$B$7,"",C315-D315)</f>
        <v/>
      </c>
      <c r="F315" s="9">
        <f>IF(A315&gt;$B$7,"",B315-E315)</f>
        <v/>
      </c>
    </row>
    <row r="316">
      <c r="A316" s="12" t="n">
        <v>297</v>
      </c>
      <c r="B316" s="9">
        <f>IF(A316&gt;$B$7,"",F315)</f>
        <v/>
      </c>
      <c r="C316" s="9">
        <f>IF(A316&gt;$B$7,"",IF(A316=$B$7,B316+D316,$B$11))</f>
        <v/>
      </c>
      <c r="D316" s="9">
        <f>IF(A316&gt;$B$7,"",ROUND(B316*$B$10,2))</f>
        <v/>
      </c>
      <c r="E316" s="9">
        <f>IF(A316&gt;$B$7,"",C316-D316)</f>
        <v/>
      </c>
      <c r="F316" s="9">
        <f>IF(A316&gt;$B$7,"",B316-E316)</f>
        <v/>
      </c>
    </row>
    <row r="317">
      <c r="A317" s="12" t="n">
        <v>298</v>
      </c>
      <c r="B317" s="9">
        <f>IF(A317&gt;$B$7,"",F316)</f>
        <v/>
      </c>
      <c r="C317" s="9">
        <f>IF(A317&gt;$B$7,"",IF(A317=$B$7,B317+D317,$B$11))</f>
        <v/>
      </c>
      <c r="D317" s="9">
        <f>IF(A317&gt;$B$7,"",ROUND(B317*$B$10,2))</f>
        <v/>
      </c>
      <c r="E317" s="9">
        <f>IF(A317&gt;$B$7,"",C317-D317)</f>
        <v/>
      </c>
      <c r="F317" s="9">
        <f>IF(A317&gt;$B$7,"",B317-E317)</f>
        <v/>
      </c>
    </row>
    <row r="318">
      <c r="A318" s="12" t="n">
        <v>299</v>
      </c>
      <c r="B318" s="9">
        <f>IF(A318&gt;$B$7,"",F317)</f>
        <v/>
      </c>
      <c r="C318" s="9">
        <f>IF(A318&gt;$B$7,"",IF(A318=$B$7,B318+D318,$B$11))</f>
        <v/>
      </c>
      <c r="D318" s="9">
        <f>IF(A318&gt;$B$7,"",ROUND(B318*$B$10,2))</f>
        <v/>
      </c>
      <c r="E318" s="9">
        <f>IF(A318&gt;$B$7,"",C318-D318)</f>
        <v/>
      </c>
      <c r="F318" s="9">
        <f>IF(A318&gt;$B$7,"",B318-E318)</f>
        <v/>
      </c>
    </row>
    <row r="319">
      <c r="A319" s="12" t="n">
        <v>300</v>
      </c>
      <c r="B319" s="9">
        <f>IF(A319&gt;$B$7,"",F318)</f>
        <v/>
      </c>
      <c r="C319" s="9">
        <f>IF(A319&gt;$B$7,"",IF(A319=$B$7,B319+D319,$B$11))</f>
        <v/>
      </c>
      <c r="D319" s="9">
        <f>IF(A319&gt;$B$7,"",ROUND(B319*$B$10,2))</f>
        <v/>
      </c>
      <c r="E319" s="9">
        <f>IF(A319&gt;$B$7,"",C319-D319)</f>
        <v/>
      </c>
      <c r="F319" s="9">
        <f>IF(A319&gt;$B$7,"",B319-E319)</f>
        <v/>
      </c>
    </row>
    <row r="320">
      <c r="A320" s="12" t="n">
        <v>301</v>
      </c>
      <c r="B320" s="9">
        <f>IF(A320&gt;$B$7,"",F319)</f>
        <v/>
      </c>
      <c r="C320" s="9">
        <f>IF(A320&gt;$B$7,"",IF(A320=$B$7,B320+D320,$B$11))</f>
        <v/>
      </c>
      <c r="D320" s="9">
        <f>IF(A320&gt;$B$7,"",ROUND(B320*$B$10,2))</f>
        <v/>
      </c>
      <c r="E320" s="9">
        <f>IF(A320&gt;$B$7,"",C320-D320)</f>
        <v/>
      </c>
      <c r="F320" s="9">
        <f>IF(A320&gt;$B$7,"",B320-E320)</f>
        <v/>
      </c>
    </row>
    <row r="321">
      <c r="A321" s="12" t="n">
        <v>302</v>
      </c>
      <c r="B321" s="9">
        <f>IF(A321&gt;$B$7,"",F320)</f>
        <v/>
      </c>
      <c r="C321" s="9">
        <f>IF(A321&gt;$B$7,"",IF(A321=$B$7,B321+D321,$B$11))</f>
        <v/>
      </c>
      <c r="D321" s="9">
        <f>IF(A321&gt;$B$7,"",ROUND(B321*$B$10,2))</f>
        <v/>
      </c>
      <c r="E321" s="9">
        <f>IF(A321&gt;$B$7,"",C321-D321)</f>
        <v/>
      </c>
      <c r="F321" s="9">
        <f>IF(A321&gt;$B$7,"",B321-E321)</f>
        <v/>
      </c>
    </row>
    <row r="322">
      <c r="A322" s="12" t="n">
        <v>303</v>
      </c>
      <c r="B322" s="9">
        <f>IF(A322&gt;$B$7,"",F321)</f>
        <v/>
      </c>
      <c r="C322" s="9">
        <f>IF(A322&gt;$B$7,"",IF(A322=$B$7,B322+D322,$B$11))</f>
        <v/>
      </c>
      <c r="D322" s="9">
        <f>IF(A322&gt;$B$7,"",ROUND(B322*$B$10,2))</f>
        <v/>
      </c>
      <c r="E322" s="9">
        <f>IF(A322&gt;$B$7,"",C322-D322)</f>
        <v/>
      </c>
      <c r="F322" s="9">
        <f>IF(A322&gt;$B$7,"",B322-E322)</f>
        <v/>
      </c>
    </row>
    <row r="323">
      <c r="A323" s="12" t="n">
        <v>304</v>
      </c>
      <c r="B323" s="9">
        <f>IF(A323&gt;$B$7,"",F322)</f>
        <v/>
      </c>
      <c r="C323" s="9">
        <f>IF(A323&gt;$B$7,"",IF(A323=$B$7,B323+D323,$B$11))</f>
        <v/>
      </c>
      <c r="D323" s="9">
        <f>IF(A323&gt;$B$7,"",ROUND(B323*$B$10,2))</f>
        <v/>
      </c>
      <c r="E323" s="9">
        <f>IF(A323&gt;$B$7,"",C323-D323)</f>
        <v/>
      </c>
      <c r="F323" s="9">
        <f>IF(A323&gt;$B$7,"",B323-E323)</f>
        <v/>
      </c>
    </row>
    <row r="324">
      <c r="A324" s="12" t="n">
        <v>305</v>
      </c>
      <c r="B324" s="9">
        <f>IF(A324&gt;$B$7,"",F323)</f>
        <v/>
      </c>
      <c r="C324" s="9">
        <f>IF(A324&gt;$B$7,"",IF(A324=$B$7,B324+D324,$B$11))</f>
        <v/>
      </c>
      <c r="D324" s="9">
        <f>IF(A324&gt;$B$7,"",ROUND(B324*$B$10,2))</f>
        <v/>
      </c>
      <c r="E324" s="9">
        <f>IF(A324&gt;$B$7,"",C324-D324)</f>
        <v/>
      </c>
      <c r="F324" s="9">
        <f>IF(A324&gt;$B$7,"",B324-E324)</f>
        <v/>
      </c>
    </row>
    <row r="325">
      <c r="A325" s="12" t="n">
        <v>306</v>
      </c>
      <c r="B325" s="9">
        <f>IF(A325&gt;$B$7,"",F324)</f>
        <v/>
      </c>
      <c r="C325" s="9">
        <f>IF(A325&gt;$B$7,"",IF(A325=$B$7,B325+D325,$B$11))</f>
        <v/>
      </c>
      <c r="D325" s="9">
        <f>IF(A325&gt;$B$7,"",ROUND(B325*$B$10,2))</f>
        <v/>
      </c>
      <c r="E325" s="9">
        <f>IF(A325&gt;$B$7,"",C325-D325)</f>
        <v/>
      </c>
      <c r="F325" s="9">
        <f>IF(A325&gt;$B$7,"",B325-E325)</f>
        <v/>
      </c>
    </row>
    <row r="326">
      <c r="A326" s="12" t="n">
        <v>307</v>
      </c>
      <c r="B326" s="9">
        <f>IF(A326&gt;$B$7,"",F325)</f>
        <v/>
      </c>
      <c r="C326" s="9">
        <f>IF(A326&gt;$B$7,"",IF(A326=$B$7,B326+D326,$B$11))</f>
        <v/>
      </c>
      <c r="D326" s="9">
        <f>IF(A326&gt;$B$7,"",ROUND(B326*$B$10,2))</f>
        <v/>
      </c>
      <c r="E326" s="9">
        <f>IF(A326&gt;$B$7,"",C326-D326)</f>
        <v/>
      </c>
      <c r="F326" s="9">
        <f>IF(A326&gt;$B$7,"",B326-E326)</f>
        <v/>
      </c>
    </row>
    <row r="327">
      <c r="A327" s="12" t="n">
        <v>308</v>
      </c>
      <c r="B327" s="9">
        <f>IF(A327&gt;$B$7,"",F326)</f>
        <v/>
      </c>
      <c r="C327" s="9">
        <f>IF(A327&gt;$B$7,"",IF(A327=$B$7,B327+D327,$B$11))</f>
        <v/>
      </c>
      <c r="D327" s="9">
        <f>IF(A327&gt;$B$7,"",ROUND(B327*$B$10,2))</f>
        <v/>
      </c>
      <c r="E327" s="9">
        <f>IF(A327&gt;$B$7,"",C327-D327)</f>
        <v/>
      </c>
      <c r="F327" s="9">
        <f>IF(A327&gt;$B$7,"",B327-E327)</f>
        <v/>
      </c>
    </row>
    <row r="328">
      <c r="A328" s="12" t="n">
        <v>309</v>
      </c>
      <c r="B328" s="9">
        <f>IF(A328&gt;$B$7,"",F327)</f>
        <v/>
      </c>
      <c r="C328" s="9">
        <f>IF(A328&gt;$B$7,"",IF(A328=$B$7,B328+D328,$B$11))</f>
        <v/>
      </c>
      <c r="D328" s="9">
        <f>IF(A328&gt;$B$7,"",ROUND(B328*$B$10,2))</f>
        <v/>
      </c>
      <c r="E328" s="9">
        <f>IF(A328&gt;$B$7,"",C328-D328)</f>
        <v/>
      </c>
      <c r="F328" s="9">
        <f>IF(A328&gt;$B$7,"",B328-E328)</f>
        <v/>
      </c>
    </row>
    <row r="329">
      <c r="A329" s="12" t="n">
        <v>310</v>
      </c>
      <c r="B329" s="9">
        <f>IF(A329&gt;$B$7,"",F328)</f>
        <v/>
      </c>
      <c r="C329" s="9">
        <f>IF(A329&gt;$B$7,"",IF(A329=$B$7,B329+D329,$B$11))</f>
        <v/>
      </c>
      <c r="D329" s="9">
        <f>IF(A329&gt;$B$7,"",ROUND(B329*$B$10,2))</f>
        <v/>
      </c>
      <c r="E329" s="9">
        <f>IF(A329&gt;$B$7,"",C329-D329)</f>
        <v/>
      </c>
      <c r="F329" s="9">
        <f>IF(A329&gt;$B$7,"",B329-E329)</f>
        <v/>
      </c>
    </row>
    <row r="330">
      <c r="A330" s="12" t="n">
        <v>311</v>
      </c>
      <c r="B330" s="9">
        <f>IF(A330&gt;$B$7,"",F329)</f>
        <v/>
      </c>
      <c r="C330" s="9">
        <f>IF(A330&gt;$B$7,"",IF(A330=$B$7,B330+D330,$B$11))</f>
        <v/>
      </c>
      <c r="D330" s="9">
        <f>IF(A330&gt;$B$7,"",ROUND(B330*$B$10,2))</f>
        <v/>
      </c>
      <c r="E330" s="9">
        <f>IF(A330&gt;$B$7,"",C330-D330)</f>
        <v/>
      </c>
      <c r="F330" s="9">
        <f>IF(A330&gt;$B$7,"",B330-E330)</f>
        <v/>
      </c>
    </row>
    <row r="331">
      <c r="A331" s="12" t="n">
        <v>312</v>
      </c>
      <c r="B331" s="9">
        <f>IF(A331&gt;$B$7,"",F330)</f>
        <v/>
      </c>
      <c r="C331" s="9">
        <f>IF(A331&gt;$B$7,"",IF(A331=$B$7,B331+D331,$B$11))</f>
        <v/>
      </c>
      <c r="D331" s="9">
        <f>IF(A331&gt;$B$7,"",ROUND(B331*$B$10,2))</f>
        <v/>
      </c>
      <c r="E331" s="9">
        <f>IF(A331&gt;$B$7,"",C331-D331)</f>
        <v/>
      </c>
      <c r="F331" s="9">
        <f>IF(A331&gt;$B$7,"",B331-E331)</f>
        <v/>
      </c>
    </row>
    <row r="332">
      <c r="A332" s="12" t="n">
        <v>313</v>
      </c>
      <c r="B332" s="9">
        <f>IF(A332&gt;$B$7,"",F331)</f>
        <v/>
      </c>
      <c r="C332" s="9">
        <f>IF(A332&gt;$B$7,"",IF(A332=$B$7,B332+D332,$B$11))</f>
        <v/>
      </c>
      <c r="D332" s="9">
        <f>IF(A332&gt;$B$7,"",ROUND(B332*$B$10,2))</f>
        <v/>
      </c>
      <c r="E332" s="9">
        <f>IF(A332&gt;$B$7,"",C332-D332)</f>
        <v/>
      </c>
      <c r="F332" s="9">
        <f>IF(A332&gt;$B$7,"",B332-E332)</f>
        <v/>
      </c>
    </row>
    <row r="333">
      <c r="A333" s="12" t="n">
        <v>314</v>
      </c>
      <c r="B333" s="9">
        <f>IF(A333&gt;$B$7,"",F332)</f>
        <v/>
      </c>
      <c r="C333" s="9">
        <f>IF(A333&gt;$B$7,"",IF(A333=$B$7,B333+D333,$B$11))</f>
        <v/>
      </c>
      <c r="D333" s="9">
        <f>IF(A333&gt;$B$7,"",ROUND(B333*$B$10,2))</f>
        <v/>
      </c>
      <c r="E333" s="9">
        <f>IF(A333&gt;$B$7,"",C333-D333)</f>
        <v/>
      </c>
      <c r="F333" s="9">
        <f>IF(A333&gt;$B$7,"",B333-E333)</f>
        <v/>
      </c>
    </row>
    <row r="334">
      <c r="A334" s="12" t="n">
        <v>315</v>
      </c>
      <c r="B334" s="9">
        <f>IF(A334&gt;$B$7,"",F333)</f>
        <v/>
      </c>
      <c r="C334" s="9">
        <f>IF(A334&gt;$B$7,"",IF(A334=$B$7,B334+D334,$B$11))</f>
        <v/>
      </c>
      <c r="D334" s="9">
        <f>IF(A334&gt;$B$7,"",ROUND(B334*$B$10,2))</f>
        <v/>
      </c>
      <c r="E334" s="9">
        <f>IF(A334&gt;$B$7,"",C334-D334)</f>
        <v/>
      </c>
      <c r="F334" s="9">
        <f>IF(A334&gt;$B$7,"",B334-E334)</f>
        <v/>
      </c>
    </row>
    <row r="335">
      <c r="A335" s="12" t="n">
        <v>316</v>
      </c>
      <c r="B335" s="9">
        <f>IF(A335&gt;$B$7,"",F334)</f>
        <v/>
      </c>
      <c r="C335" s="9">
        <f>IF(A335&gt;$B$7,"",IF(A335=$B$7,B335+D335,$B$11))</f>
        <v/>
      </c>
      <c r="D335" s="9">
        <f>IF(A335&gt;$B$7,"",ROUND(B335*$B$10,2))</f>
        <v/>
      </c>
      <c r="E335" s="9">
        <f>IF(A335&gt;$B$7,"",C335-D335)</f>
        <v/>
      </c>
      <c r="F335" s="9">
        <f>IF(A335&gt;$B$7,"",B335-E335)</f>
        <v/>
      </c>
    </row>
    <row r="336">
      <c r="A336" s="12" t="n">
        <v>317</v>
      </c>
      <c r="B336" s="9">
        <f>IF(A336&gt;$B$7,"",F335)</f>
        <v/>
      </c>
      <c r="C336" s="9">
        <f>IF(A336&gt;$B$7,"",IF(A336=$B$7,B336+D336,$B$11))</f>
        <v/>
      </c>
      <c r="D336" s="9">
        <f>IF(A336&gt;$B$7,"",ROUND(B336*$B$10,2))</f>
        <v/>
      </c>
      <c r="E336" s="9">
        <f>IF(A336&gt;$B$7,"",C336-D336)</f>
        <v/>
      </c>
      <c r="F336" s="9">
        <f>IF(A336&gt;$B$7,"",B336-E336)</f>
        <v/>
      </c>
    </row>
    <row r="337">
      <c r="A337" s="12" t="n">
        <v>318</v>
      </c>
      <c r="B337" s="9">
        <f>IF(A337&gt;$B$7,"",F336)</f>
        <v/>
      </c>
      <c r="C337" s="9">
        <f>IF(A337&gt;$B$7,"",IF(A337=$B$7,B337+D337,$B$11))</f>
        <v/>
      </c>
      <c r="D337" s="9">
        <f>IF(A337&gt;$B$7,"",ROUND(B337*$B$10,2))</f>
        <v/>
      </c>
      <c r="E337" s="9">
        <f>IF(A337&gt;$B$7,"",C337-D337)</f>
        <v/>
      </c>
      <c r="F337" s="9">
        <f>IF(A337&gt;$B$7,"",B337-E337)</f>
        <v/>
      </c>
    </row>
    <row r="338">
      <c r="A338" s="12" t="n">
        <v>319</v>
      </c>
      <c r="B338" s="9">
        <f>IF(A338&gt;$B$7,"",F337)</f>
        <v/>
      </c>
      <c r="C338" s="9">
        <f>IF(A338&gt;$B$7,"",IF(A338=$B$7,B338+D338,$B$11))</f>
        <v/>
      </c>
      <c r="D338" s="9">
        <f>IF(A338&gt;$B$7,"",ROUND(B338*$B$10,2))</f>
        <v/>
      </c>
      <c r="E338" s="9">
        <f>IF(A338&gt;$B$7,"",C338-D338)</f>
        <v/>
      </c>
      <c r="F338" s="9">
        <f>IF(A338&gt;$B$7,"",B338-E338)</f>
        <v/>
      </c>
    </row>
    <row r="339">
      <c r="A339" s="12" t="n">
        <v>320</v>
      </c>
      <c r="B339" s="9">
        <f>IF(A339&gt;$B$7,"",F338)</f>
        <v/>
      </c>
      <c r="C339" s="9">
        <f>IF(A339&gt;$B$7,"",IF(A339=$B$7,B339+D339,$B$11))</f>
        <v/>
      </c>
      <c r="D339" s="9">
        <f>IF(A339&gt;$B$7,"",ROUND(B339*$B$10,2))</f>
        <v/>
      </c>
      <c r="E339" s="9">
        <f>IF(A339&gt;$B$7,"",C339-D339)</f>
        <v/>
      </c>
      <c r="F339" s="9">
        <f>IF(A339&gt;$B$7,"",B339-E339)</f>
        <v/>
      </c>
    </row>
    <row r="340">
      <c r="A340" s="12" t="n">
        <v>321</v>
      </c>
      <c r="B340" s="9">
        <f>IF(A340&gt;$B$7,"",F339)</f>
        <v/>
      </c>
      <c r="C340" s="9">
        <f>IF(A340&gt;$B$7,"",IF(A340=$B$7,B340+D340,$B$11))</f>
        <v/>
      </c>
      <c r="D340" s="9">
        <f>IF(A340&gt;$B$7,"",ROUND(B340*$B$10,2))</f>
        <v/>
      </c>
      <c r="E340" s="9">
        <f>IF(A340&gt;$B$7,"",C340-D340)</f>
        <v/>
      </c>
      <c r="F340" s="9">
        <f>IF(A340&gt;$B$7,"",B340-E340)</f>
        <v/>
      </c>
    </row>
    <row r="341">
      <c r="A341" s="12" t="n">
        <v>322</v>
      </c>
      <c r="B341" s="9">
        <f>IF(A341&gt;$B$7,"",F340)</f>
        <v/>
      </c>
      <c r="C341" s="9">
        <f>IF(A341&gt;$B$7,"",IF(A341=$B$7,B341+D341,$B$11))</f>
        <v/>
      </c>
      <c r="D341" s="9">
        <f>IF(A341&gt;$B$7,"",ROUND(B341*$B$10,2))</f>
        <v/>
      </c>
      <c r="E341" s="9">
        <f>IF(A341&gt;$B$7,"",C341-D341)</f>
        <v/>
      </c>
      <c r="F341" s="9">
        <f>IF(A341&gt;$B$7,"",B341-E341)</f>
        <v/>
      </c>
    </row>
    <row r="342">
      <c r="A342" s="12" t="n">
        <v>323</v>
      </c>
      <c r="B342" s="9">
        <f>IF(A342&gt;$B$7,"",F341)</f>
        <v/>
      </c>
      <c r="C342" s="9">
        <f>IF(A342&gt;$B$7,"",IF(A342=$B$7,B342+D342,$B$11))</f>
        <v/>
      </c>
      <c r="D342" s="9">
        <f>IF(A342&gt;$B$7,"",ROUND(B342*$B$10,2))</f>
        <v/>
      </c>
      <c r="E342" s="9">
        <f>IF(A342&gt;$B$7,"",C342-D342)</f>
        <v/>
      </c>
      <c r="F342" s="9">
        <f>IF(A342&gt;$B$7,"",B342-E342)</f>
        <v/>
      </c>
    </row>
    <row r="343">
      <c r="A343" s="12" t="n">
        <v>324</v>
      </c>
      <c r="B343" s="9">
        <f>IF(A343&gt;$B$7,"",F342)</f>
        <v/>
      </c>
      <c r="C343" s="9">
        <f>IF(A343&gt;$B$7,"",IF(A343=$B$7,B343+D343,$B$11))</f>
        <v/>
      </c>
      <c r="D343" s="9">
        <f>IF(A343&gt;$B$7,"",ROUND(B343*$B$10,2))</f>
        <v/>
      </c>
      <c r="E343" s="9">
        <f>IF(A343&gt;$B$7,"",C343-D343)</f>
        <v/>
      </c>
      <c r="F343" s="9">
        <f>IF(A343&gt;$B$7,"",B343-E343)</f>
        <v/>
      </c>
    </row>
    <row r="344">
      <c r="A344" s="12" t="n">
        <v>325</v>
      </c>
      <c r="B344" s="9">
        <f>IF(A344&gt;$B$7,"",F343)</f>
        <v/>
      </c>
      <c r="C344" s="9">
        <f>IF(A344&gt;$B$7,"",IF(A344=$B$7,B344+D344,$B$11))</f>
        <v/>
      </c>
      <c r="D344" s="9">
        <f>IF(A344&gt;$B$7,"",ROUND(B344*$B$10,2))</f>
        <v/>
      </c>
      <c r="E344" s="9">
        <f>IF(A344&gt;$B$7,"",C344-D344)</f>
        <v/>
      </c>
      <c r="F344" s="9">
        <f>IF(A344&gt;$B$7,"",B344-E344)</f>
        <v/>
      </c>
    </row>
    <row r="345">
      <c r="A345" s="12" t="n">
        <v>326</v>
      </c>
      <c r="B345" s="9">
        <f>IF(A345&gt;$B$7,"",F344)</f>
        <v/>
      </c>
      <c r="C345" s="9">
        <f>IF(A345&gt;$B$7,"",IF(A345=$B$7,B345+D345,$B$11))</f>
        <v/>
      </c>
      <c r="D345" s="9">
        <f>IF(A345&gt;$B$7,"",ROUND(B345*$B$10,2))</f>
        <v/>
      </c>
      <c r="E345" s="9">
        <f>IF(A345&gt;$B$7,"",C345-D345)</f>
        <v/>
      </c>
      <c r="F345" s="9">
        <f>IF(A345&gt;$B$7,"",B345-E345)</f>
        <v/>
      </c>
    </row>
    <row r="346">
      <c r="A346" s="12" t="n">
        <v>327</v>
      </c>
      <c r="B346" s="9">
        <f>IF(A346&gt;$B$7,"",F345)</f>
        <v/>
      </c>
      <c r="C346" s="9">
        <f>IF(A346&gt;$B$7,"",IF(A346=$B$7,B346+D346,$B$11))</f>
        <v/>
      </c>
      <c r="D346" s="9">
        <f>IF(A346&gt;$B$7,"",ROUND(B346*$B$10,2))</f>
        <v/>
      </c>
      <c r="E346" s="9">
        <f>IF(A346&gt;$B$7,"",C346-D346)</f>
        <v/>
      </c>
      <c r="F346" s="9">
        <f>IF(A346&gt;$B$7,"",B346-E346)</f>
        <v/>
      </c>
    </row>
    <row r="347">
      <c r="A347" s="12" t="n">
        <v>328</v>
      </c>
      <c r="B347" s="9">
        <f>IF(A347&gt;$B$7,"",F346)</f>
        <v/>
      </c>
      <c r="C347" s="9">
        <f>IF(A347&gt;$B$7,"",IF(A347=$B$7,B347+D347,$B$11))</f>
        <v/>
      </c>
      <c r="D347" s="9">
        <f>IF(A347&gt;$B$7,"",ROUND(B347*$B$10,2))</f>
        <v/>
      </c>
      <c r="E347" s="9">
        <f>IF(A347&gt;$B$7,"",C347-D347)</f>
        <v/>
      </c>
      <c r="F347" s="9">
        <f>IF(A347&gt;$B$7,"",B347-E347)</f>
        <v/>
      </c>
    </row>
    <row r="348">
      <c r="A348" s="12" t="n">
        <v>329</v>
      </c>
      <c r="B348" s="9">
        <f>IF(A348&gt;$B$7,"",F347)</f>
        <v/>
      </c>
      <c r="C348" s="9">
        <f>IF(A348&gt;$B$7,"",IF(A348=$B$7,B348+D348,$B$11))</f>
        <v/>
      </c>
      <c r="D348" s="9">
        <f>IF(A348&gt;$B$7,"",ROUND(B348*$B$10,2))</f>
        <v/>
      </c>
      <c r="E348" s="9">
        <f>IF(A348&gt;$B$7,"",C348-D348)</f>
        <v/>
      </c>
      <c r="F348" s="9">
        <f>IF(A348&gt;$B$7,"",B348-E348)</f>
        <v/>
      </c>
    </row>
    <row r="349">
      <c r="A349" s="12" t="n">
        <v>330</v>
      </c>
      <c r="B349" s="9">
        <f>IF(A349&gt;$B$7,"",F348)</f>
        <v/>
      </c>
      <c r="C349" s="9">
        <f>IF(A349&gt;$B$7,"",IF(A349=$B$7,B349+D349,$B$11))</f>
        <v/>
      </c>
      <c r="D349" s="9">
        <f>IF(A349&gt;$B$7,"",ROUND(B349*$B$10,2))</f>
        <v/>
      </c>
      <c r="E349" s="9">
        <f>IF(A349&gt;$B$7,"",C349-D349)</f>
        <v/>
      </c>
      <c r="F349" s="9">
        <f>IF(A349&gt;$B$7,"",B349-E349)</f>
        <v/>
      </c>
    </row>
    <row r="350">
      <c r="A350" s="12" t="n">
        <v>331</v>
      </c>
      <c r="B350" s="9">
        <f>IF(A350&gt;$B$7,"",F349)</f>
        <v/>
      </c>
      <c r="C350" s="9">
        <f>IF(A350&gt;$B$7,"",IF(A350=$B$7,B350+D350,$B$11))</f>
        <v/>
      </c>
      <c r="D350" s="9">
        <f>IF(A350&gt;$B$7,"",ROUND(B350*$B$10,2))</f>
        <v/>
      </c>
      <c r="E350" s="9">
        <f>IF(A350&gt;$B$7,"",C350-D350)</f>
        <v/>
      </c>
      <c r="F350" s="9">
        <f>IF(A350&gt;$B$7,"",B350-E350)</f>
        <v/>
      </c>
    </row>
    <row r="351">
      <c r="A351" s="12" t="n">
        <v>332</v>
      </c>
      <c r="B351" s="9">
        <f>IF(A351&gt;$B$7,"",F350)</f>
        <v/>
      </c>
      <c r="C351" s="9">
        <f>IF(A351&gt;$B$7,"",IF(A351=$B$7,B351+D351,$B$11))</f>
        <v/>
      </c>
      <c r="D351" s="9">
        <f>IF(A351&gt;$B$7,"",ROUND(B351*$B$10,2))</f>
        <v/>
      </c>
      <c r="E351" s="9">
        <f>IF(A351&gt;$B$7,"",C351-D351)</f>
        <v/>
      </c>
      <c r="F351" s="9">
        <f>IF(A351&gt;$B$7,"",B351-E351)</f>
        <v/>
      </c>
    </row>
    <row r="352">
      <c r="A352" s="12" t="n">
        <v>333</v>
      </c>
      <c r="B352" s="9">
        <f>IF(A352&gt;$B$7,"",F351)</f>
        <v/>
      </c>
      <c r="C352" s="9">
        <f>IF(A352&gt;$B$7,"",IF(A352=$B$7,B352+D352,$B$11))</f>
        <v/>
      </c>
      <c r="D352" s="9">
        <f>IF(A352&gt;$B$7,"",ROUND(B352*$B$10,2))</f>
        <v/>
      </c>
      <c r="E352" s="9">
        <f>IF(A352&gt;$B$7,"",C352-D352)</f>
        <v/>
      </c>
      <c r="F352" s="9">
        <f>IF(A352&gt;$B$7,"",B352-E352)</f>
        <v/>
      </c>
    </row>
    <row r="353">
      <c r="A353" s="12" t="n">
        <v>334</v>
      </c>
      <c r="B353" s="9">
        <f>IF(A353&gt;$B$7,"",F352)</f>
        <v/>
      </c>
      <c r="C353" s="9">
        <f>IF(A353&gt;$B$7,"",IF(A353=$B$7,B353+D353,$B$11))</f>
        <v/>
      </c>
      <c r="D353" s="9">
        <f>IF(A353&gt;$B$7,"",ROUND(B353*$B$10,2))</f>
        <v/>
      </c>
      <c r="E353" s="9">
        <f>IF(A353&gt;$B$7,"",C353-D353)</f>
        <v/>
      </c>
      <c r="F353" s="9">
        <f>IF(A353&gt;$B$7,"",B353-E353)</f>
        <v/>
      </c>
    </row>
    <row r="354">
      <c r="A354" s="12" t="n">
        <v>335</v>
      </c>
      <c r="B354" s="9">
        <f>IF(A354&gt;$B$7,"",F353)</f>
        <v/>
      </c>
      <c r="C354" s="9">
        <f>IF(A354&gt;$B$7,"",IF(A354=$B$7,B354+D354,$B$11))</f>
        <v/>
      </c>
      <c r="D354" s="9">
        <f>IF(A354&gt;$B$7,"",ROUND(B354*$B$10,2))</f>
        <v/>
      </c>
      <c r="E354" s="9">
        <f>IF(A354&gt;$B$7,"",C354-D354)</f>
        <v/>
      </c>
      <c r="F354" s="9">
        <f>IF(A354&gt;$B$7,"",B354-E354)</f>
        <v/>
      </c>
    </row>
    <row r="355">
      <c r="A355" s="12" t="n">
        <v>336</v>
      </c>
      <c r="B355" s="9">
        <f>IF(A355&gt;$B$7,"",F354)</f>
        <v/>
      </c>
      <c r="C355" s="9">
        <f>IF(A355&gt;$B$7,"",IF(A355=$B$7,B355+D355,$B$11))</f>
        <v/>
      </c>
      <c r="D355" s="9">
        <f>IF(A355&gt;$B$7,"",ROUND(B355*$B$10,2))</f>
        <v/>
      </c>
      <c r="E355" s="9">
        <f>IF(A355&gt;$B$7,"",C355-D355)</f>
        <v/>
      </c>
      <c r="F355" s="9">
        <f>IF(A355&gt;$B$7,"",B355-E355)</f>
        <v/>
      </c>
    </row>
    <row r="356">
      <c r="A356" s="12" t="n">
        <v>337</v>
      </c>
      <c r="B356" s="9">
        <f>IF(A356&gt;$B$7,"",F355)</f>
        <v/>
      </c>
      <c r="C356" s="9">
        <f>IF(A356&gt;$B$7,"",IF(A356=$B$7,B356+D356,$B$11))</f>
        <v/>
      </c>
      <c r="D356" s="9">
        <f>IF(A356&gt;$B$7,"",ROUND(B356*$B$10,2))</f>
        <v/>
      </c>
      <c r="E356" s="9">
        <f>IF(A356&gt;$B$7,"",C356-D356)</f>
        <v/>
      </c>
      <c r="F356" s="9">
        <f>IF(A356&gt;$B$7,"",B356-E356)</f>
        <v/>
      </c>
    </row>
    <row r="357">
      <c r="A357" s="12" t="n">
        <v>338</v>
      </c>
      <c r="B357" s="9">
        <f>IF(A357&gt;$B$7,"",F356)</f>
        <v/>
      </c>
      <c r="C357" s="9">
        <f>IF(A357&gt;$B$7,"",IF(A357=$B$7,B357+D357,$B$11))</f>
        <v/>
      </c>
      <c r="D357" s="9">
        <f>IF(A357&gt;$B$7,"",ROUND(B357*$B$10,2))</f>
        <v/>
      </c>
      <c r="E357" s="9">
        <f>IF(A357&gt;$B$7,"",C357-D357)</f>
        <v/>
      </c>
      <c r="F357" s="9">
        <f>IF(A357&gt;$B$7,"",B357-E357)</f>
        <v/>
      </c>
    </row>
    <row r="358">
      <c r="A358" s="12" t="n">
        <v>339</v>
      </c>
      <c r="B358" s="9">
        <f>IF(A358&gt;$B$7,"",F357)</f>
        <v/>
      </c>
      <c r="C358" s="9">
        <f>IF(A358&gt;$B$7,"",IF(A358=$B$7,B358+D358,$B$11))</f>
        <v/>
      </c>
      <c r="D358" s="9">
        <f>IF(A358&gt;$B$7,"",ROUND(B358*$B$10,2))</f>
        <v/>
      </c>
      <c r="E358" s="9">
        <f>IF(A358&gt;$B$7,"",C358-D358)</f>
        <v/>
      </c>
      <c r="F358" s="9">
        <f>IF(A358&gt;$B$7,"",B358-E358)</f>
        <v/>
      </c>
    </row>
    <row r="359">
      <c r="A359" s="12" t="n">
        <v>340</v>
      </c>
      <c r="B359" s="9">
        <f>IF(A359&gt;$B$7,"",F358)</f>
        <v/>
      </c>
      <c r="C359" s="9">
        <f>IF(A359&gt;$B$7,"",IF(A359=$B$7,B359+D359,$B$11))</f>
        <v/>
      </c>
      <c r="D359" s="9">
        <f>IF(A359&gt;$B$7,"",ROUND(B359*$B$10,2))</f>
        <v/>
      </c>
      <c r="E359" s="9">
        <f>IF(A359&gt;$B$7,"",C359-D359)</f>
        <v/>
      </c>
      <c r="F359" s="9">
        <f>IF(A359&gt;$B$7,"",B359-E359)</f>
        <v/>
      </c>
    </row>
    <row r="360">
      <c r="A360" s="12" t="n">
        <v>341</v>
      </c>
      <c r="B360" s="9">
        <f>IF(A360&gt;$B$7,"",F359)</f>
        <v/>
      </c>
      <c r="C360" s="9">
        <f>IF(A360&gt;$B$7,"",IF(A360=$B$7,B360+D360,$B$11))</f>
        <v/>
      </c>
      <c r="D360" s="9">
        <f>IF(A360&gt;$B$7,"",ROUND(B360*$B$10,2))</f>
        <v/>
      </c>
      <c r="E360" s="9">
        <f>IF(A360&gt;$B$7,"",C360-D360)</f>
        <v/>
      </c>
      <c r="F360" s="9">
        <f>IF(A360&gt;$B$7,"",B360-E360)</f>
        <v/>
      </c>
    </row>
    <row r="361">
      <c r="A361" s="12" t="n">
        <v>342</v>
      </c>
      <c r="B361" s="9">
        <f>IF(A361&gt;$B$7,"",F360)</f>
        <v/>
      </c>
      <c r="C361" s="9">
        <f>IF(A361&gt;$B$7,"",IF(A361=$B$7,B361+D361,$B$11))</f>
        <v/>
      </c>
      <c r="D361" s="9">
        <f>IF(A361&gt;$B$7,"",ROUND(B361*$B$10,2))</f>
        <v/>
      </c>
      <c r="E361" s="9">
        <f>IF(A361&gt;$B$7,"",C361-D361)</f>
        <v/>
      </c>
      <c r="F361" s="9">
        <f>IF(A361&gt;$B$7,"",B361-E361)</f>
        <v/>
      </c>
    </row>
    <row r="362">
      <c r="A362" s="12" t="n">
        <v>343</v>
      </c>
      <c r="B362" s="9">
        <f>IF(A362&gt;$B$7,"",F361)</f>
        <v/>
      </c>
      <c r="C362" s="9">
        <f>IF(A362&gt;$B$7,"",IF(A362=$B$7,B362+D362,$B$11))</f>
        <v/>
      </c>
      <c r="D362" s="9">
        <f>IF(A362&gt;$B$7,"",ROUND(B362*$B$10,2))</f>
        <v/>
      </c>
      <c r="E362" s="9">
        <f>IF(A362&gt;$B$7,"",C362-D362)</f>
        <v/>
      </c>
      <c r="F362" s="9">
        <f>IF(A362&gt;$B$7,"",B362-E362)</f>
        <v/>
      </c>
    </row>
    <row r="363">
      <c r="A363" s="12" t="n">
        <v>344</v>
      </c>
      <c r="B363" s="9">
        <f>IF(A363&gt;$B$7,"",F362)</f>
        <v/>
      </c>
      <c r="C363" s="9">
        <f>IF(A363&gt;$B$7,"",IF(A363=$B$7,B363+D363,$B$11))</f>
        <v/>
      </c>
      <c r="D363" s="9">
        <f>IF(A363&gt;$B$7,"",ROUND(B363*$B$10,2))</f>
        <v/>
      </c>
      <c r="E363" s="9">
        <f>IF(A363&gt;$B$7,"",C363-D363)</f>
        <v/>
      </c>
      <c r="F363" s="9">
        <f>IF(A363&gt;$B$7,"",B363-E363)</f>
        <v/>
      </c>
    </row>
    <row r="364">
      <c r="A364" s="12" t="n">
        <v>345</v>
      </c>
      <c r="B364" s="9">
        <f>IF(A364&gt;$B$7,"",F363)</f>
        <v/>
      </c>
      <c r="C364" s="9">
        <f>IF(A364&gt;$B$7,"",IF(A364=$B$7,B364+D364,$B$11))</f>
        <v/>
      </c>
      <c r="D364" s="9">
        <f>IF(A364&gt;$B$7,"",ROUND(B364*$B$10,2))</f>
        <v/>
      </c>
      <c r="E364" s="9">
        <f>IF(A364&gt;$B$7,"",C364-D364)</f>
        <v/>
      </c>
      <c r="F364" s="9">
        <f>IF(A364&gt;$B$7,"",B364-E364)</f>
        <v/>
      </c>
    </row>
    <row r="365">
      <c r="A365" s="12" t="n">
        <v>346</v>
      </c>
      <c r="B365" s="9">
        <f>IF(A365&gt;$B$7,"",F364)</f>
        <v/>
      </c>
      <c r="C365" s="9">
        <f>IF(A365&gt;$B$7,"",IF(A365=$B$7,B365+D365,$B$11))</f>
        <v/>
      </c>
      <c r="D365" s="9">
        <f>IF(A365&gt;$B$7,"",ROUND(B365*$B$10,2))</f>
        <v/>
      </c>
      <c r="E365" s="9">
        <f>IF(A365&gt;$B$7,"",C365-D365)</f>
        <v/>
      </c>
      <c r="F365" s="9">
        <f>IF(A365&gt;$B$7,"",B365-E365)</f>
        <v/>
      </c>
    </row>
    <row r="366">
      <c r="A366" s="12" t="n">
        <v>347</v>
      </c>
      <c r="B366" s="9">
        <f>IF(A366&gt;$B$7,"",F365)</f>
        <v/>
      </c>
      <c r="C366" s="9">
        <f>IF(A366&gt;$B$7,"",IF(A366=$B$7,B366+D366,$B$11))</f>
        <v/>
      </c>
      <c r="D366" s="9">
        <f>IF(A366&gt;$B$7,"",ROUND(B366*$B$10,2))</f>
        <v/>
      </c>
      <c r="E366" s="9">
        <f>IF(A366&gt;$B$7,"",C366-D366)</f>
        <v/>
      </c>
      <c r="F366" s="9">
        <f>IF(A366&gt;$B$7,"",B366-E366)</f>
        <v/>
      </c>
    </row>
    <row r="367">
      <c r="A367" s="12" t="n">
        <v>348</v>
      </c>
      <c r="B367" s="9">
        <f>IF(A367&gt;$B$7,"",F366)</f>
        <v/>
      </c>
      <c r="C367" s="9">
        <f>IF(A367&gt;$B$7,"",IF(A367=$B$7,B367+D367,$B$11))</f>
        <v/>
      </c>
      <c r="D367" s="9">
        <f>IF(A367&gt;$B$7,"",ROUND(B367*$B$10,2))</f>
        <v/>
      </c>
      <c r="E367" s="9">
        <f>IF(A367&gt;$B$7,"",C367-D367)</f>
        <v/>
      </c>
      <c r="F367" s="9">
        <f>IF(A367&gt;$B$7,"",B367-E367)</f>
        <v/>
      </c>
    </row>
    <row r="368">
      <c r="A368" s="12" t="n">
        <v>349</v>
      </c>
      <c r="B368" s="9">
        <f>IF(A368&gt;$B$7,"",F367)</f>
        <v/>
      </c>
      <c r="C368" s="9">
        <f>IF(A368&gt;$B$7,"",IF(A368=$B$7,B368+D368,$B$11))</f>
        <v/>
      </c>
      <c r="D368" s="9">
        <f>IF(A368&gt;$B$7,"",ROUND(B368*$B$10,2))</f>
        <v/>
      </c>
      <c r="E368" s="9">
        <f>IF(A368&gt;$B$7,"",C368-D368)</f>
        <v/>
      </c>
      <c r="F368" s="9">
        <f>IF(A368&gt;$B$7,"",B368-E368)</f>
        <v/>
      </c>
    </row>
    <row r="369">
      <c r="A369" s="12" t="n">
        <v>350</v>
      </c>
      <c r="B369" s="9">
        <f>IF(A369&gt;$B$7,"",F368)</f>
        <v/>
      </c>
      <c r="C369" s="9">
        <f>IF(A369&gt;$B$7,"",IF(A369=$B$7,B369+D369,$B$11))</f>
        <v/>
      </c>
      <c r="D369" s="9">
        <f>IF(A369&gt;$B$7,"",ROUND(B369*$B$10,2))</f>
        <v/>
      </c>
      <c r="E369" s="9">
        <f>IF(A369&gt;$B$7,"",C369-D369)</f>
        <v/>
      </c>
      <c r="F369" s="9">
        <f>IF(A369&gt;$B$7,"",B369-E369)</f>
        <v/>
      </c>
    </row>
    <row r="370">
      <c r="A370" s="12" t="n">
        <v>351</v>
      </c>
      <c r="B370" s="9">
        <f>IF(A370&gt;$B$7,"",F369)</f>
        <v/>
      </c>
      <c r="C370" s="9">
        <f>IF(A370&gt;$B$7,"",IF(A370=$B$7,B370+D370,$B$11))</f>
        <v/>
      </c>
      <c r="D370" s="9">
        <f>IF(A370&gt;$B$7,"",ROUND(B370*$B$10,2))</f>
        <v/>
      </c>
      <c r="E370" s="9">
        <f>IF(A370&gt;$B$7,"",C370-D370)</f>
        <v/>
      </c>
      <c r="F370" s="9">
        <f>IF(A370&gt;$B$7,"",B370-E370)</f>
        <v/>
      </c>
    </row>
    <row r="371">
      <c r="A371" s="12" t="n">
        <v>352</v>
      </c>
      <c r="B371" s="9">
        <f>IF(A371&gt;$B$7,"",F370)</f>
        <v/>
      </c>
      <c r="C371" s="9">
        <f>IF(A371&gt;$B$7,"",IF(A371=$B$7,B371+D371,$B$11))</f>
        <v/>
      </c>
      <c r="D371" s="9">
        <f>IF(A371&gt;$B$7,"",ROUND(B371*$B$10,2))</f>
        <v/>
      </c>
      <c r="E371" s="9">
        <f>IF(A371&gt;$B$7,"",C371-D371)</f>
        <v/>
      </c>
      <c r="F371" s="9">
        <f>IF(A371&gt;$B$7,"",B371-E371)</f>
        <v/>
      </c>
    </row>
    <row r="372">
      <c r="A372" s="12" t="n">
        <v>353</v>
      </c>
      <c r="B372" s="9">
        <f>IF(A372&gt;$B$7,"",F371)</f>
        <v/>
      </c>
      <c r="C372" s="9">
        <f>IF(A372&gt;$B$7,"",IF(A372=$B$7,B372+D372,$B$11))</f>
        <v/>
      </c>
      <c r="D372" s="9">
        <f>IF(A372&gt;$B$7,"",ROUND(B372*$B$10,2))</f>
        <v/>
      </c>
      <c r="E372" s="9">
        <f>IF(A372&gt;$B$7,"",C372-D372)</f>
        <v/>
      </c>
      <c r="F372" s="9">
        <f>IF(A372&gt;$B$7,"",B372-E372)</f>
        <v/>
      </c>
    </row>
    <row r="373">
      <c r="A373" s="12" t="n">
        <v>354</v>
      </c>
      <c r="B373" s="9">
        <f>IF(A373&gt;$B$7,"",F372)</f>
        <v/>
      </c>
      <c r="C373" s="9">
        <f>IF(A373&gt;$B$7,"",IF(A373=$B$7,B373+D373,$B$11))</f>
        <v/>
      </c>
      <c r="D373" s="9">
        <f>IF(A373&gt;$B$7,"",ROUND(B373*$B$10,2))</f>
        <v/>
      </c>
      <c r="E373" s="9">
        <f>IF(A373&gt;$B$7,"",C373-D373)</f>
        <v/>
      </c>
      <c r="F373" s="9">
        <f>IF(A373&gt;$B$7,"",B373-E373)</f>
        <v/>
      </c>
    </row>
    <row r="374">
      <c r="A374" s="12" t="n">
        <v>355</v>
      </c>
      <c r="B374" s="9">
        <f>IF(A374&gt;$B$7,"",F373)</f>
        <v/>
      </c>
      <c r="C374" s="9">
        <f>IF(A374&gt;$B$7,"",IF(A374=$B$7,B374+D374,$B$11))</f>
        <v/>
      </c>
      <c r="D374" s="9">
        <f>IF(A374&gt;$B$7,"",ROUND(B374*$B$10,2))</f>
        <v/>
      </c>
      <c r="E374" s="9">
        <f>IF(A374&gt;$B$7,"",C374-D374)</f>
        <v/>
      </c>
      <c r="F374" s="9">
        <f>IF(A374&gt;$B$7,"",B374-E374)</f>
        <v/>
      </c>
    </row>
    <row r="375">
      <c r="A375" s="12" t="n">
        <v>356</v>
      </c>
      <c r="B375" s="9">
        <f>IF(A375&gt;$B$7,"",F374)</f>
        <v/>
      </c>
      <c r="C375" s="9">
        <f>IF(A375&gt;$B$7,"",IF(A375=$B$7,B375+D375,$B$11))</f>
        <v/>
      </c>
      <c r="D375" s="9">
        <f>IF(A375&gt;$B$7,"",ROUND(B375*$B$10,2))</f>
        <v/>
      </c>
      <c r="E375" s="9">
        <f>IF(A375&gt;$B$7,"",C375-D375)</f>
        <v/>
      </c>
      <c r="F375" s="9">
        <f>IF(A375&gt;$B$7,"",B375-E375)</f>
        <v/>
      </c>
    </row>
    <row r="376">
      <c r="A376" s="12" t="n">
        <v>357</v>
      </c>
      <c r="B376" s="9">
        <f>IF(A376&gt;$B$7,"",F375)</f>
        <v/>
      </c>
      <c r="C376" s="9">
        <f>IF(A376&gt;$B$7,"",IF(A376=$B$7,B376+D376,$B$11))</f>
        <v/>
      </c>
      <c r="D376" s="9">
        <f>IF(A376&gt;$B$7,"",ROUND(B376*$B$10,2))</f>
        <v/>
      </c>
      <c r="E376" s="9">
        <f>IF(A376&gt;$B$7,"",C376-D376)</f>
        <v/>
      </c>
      <c r="F376" s="9">
        <f>IF(A376&gt;$B$7,"",B376-E376)</f>
        <v/>
      </c>
    </row>
    <row r="377">
      <c r="A377" s="12" t="n">
        <v>358</v>
      </c>
      <c r="B377" s="9">
        <f>IF(A377&gt;$B$7,"",F376)</f>
        <v/>
      </c>
      <c r="C377" s="9">
        <f>IF(A377&gt;$B$7,"",IF(A377=$B$7,B377+D377,$B$11))</f>
        <v/>
      </c>
      <c r="D377" s="9">
        <f>IF(A377&gt;$B$7,"",ROUND(B377*$B$10,2))</f>
        <v/>
      </c>
      <c r="E377" s="9">
        <f>IF(A377&gt;$B$7,"",C377-D377)</f>
        <v/>
      </c>
      <c r="F377" s="9">
        <f>IF(A377&gt;$B$7,"",B377-E377)</f>
        <v/>
      </c>
    </row>
    <row r="378">
      <c r="A378" s="12" t="n">
        <v>359</v>
      </c>
      <c r="B378" s="9">
        <f>IF(A378&gt;$B$7,"",F377)</f>
        <v/>
      </c>
      <c r="C378" s="9">
        <f>IF(A378&gt;$B$7,"",IF(A378=$B$7,B378+D378,$B$11))</f>
        <v/>
      </c>
      <c r="D378" s="9">
        <f>IF(A378&gt;$B$7,"",ROUND(B378*$B$10,2))</f>
        <v/>
      </c>
      <c r="E378" s="9">
        <f>IF(A378&gt;$B$7,"",C378-D378)</f>
        <v/>
      </c>
      <c r="F378" s="9">
        <f>IF(A378&gt;$B$7,"",B378-E378)</f>
        <v/>
      </c>
    </row>
    <row r="379">
      <c r="A379" s="12" t="n">
        <v>360</v>
      </c>
      <c r="B379" s="9">
        <f>IF(A379&gt;$B$7,"",F378)</f>
        <v/>
      </c>
      <c r="C379" s="9">
        <f>IF(A379&gt;$B$7,"",IF(A379=$B$7,B379+D379,$B$11))</f>
        <v/>
      </c>
      <c r="D379" s="9">
        <f>IF(A379&gt;$B$7,"",ROUND(B379*$B$10,2))</f>
        <v/>
      </c>
      <c r="E379" s="9">
        <f>IF(A379&gt;$B$7,"",C379-D379)</f>
        <v/>
      </c>
      <c r="F379" s="9">
        <f>IF(A379&gt;$B$7,"",B379-E379)</f>
        <v/>
      </c>
    </row>
  </sheetData>
  <mergeCells count="1">
    <mergeCell ref="B17:F17"/>
  </mergeCell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איך ממלאים את הלוח</t>
        </is>
      </c>
    </row>
    <row r="2">
      <c r="A2" s="14" t="inlineStr">
        <is>
          <t>תרגיל נפרד, לא התיק של נועם ושירה. הלוואות בדויות; המספרים להמחשה, לא נתוני שוק ולא הצעה של בנק.</t>
        </is>
      </c>
    </row>
    <row r="3">
      <c r="A3" s="14" t="inlineStr">
        <is>
          <t>הכלל של הקורס: התשלום מעוגל לאגורה פעם אחת; הריבית של כל חודש מעוגלת לאגורה; בחודש האחרון התשלום הוא היתרה ועוד הריבית, כדי שהיתרה תגיע לאפס בדיוק.</t>
        </is>
      </c>
    </row>
    <row r="4">
      <c r="A4" s="13" t="inlineStr">
        <is>
          <t>הנוסחאות (גיליון ״לוח סילוקין״)</t>
        </is>
      </c>
    </row>
    <row r="5">
      <c r="A5" s="14" t="inlineStr">
        <is>
          <t>צעד 1 — הריבית החודשית, בתא B10:   =B6/12</t>
        </is>
      </c>
    </row>
    <row r="6">
      <c r="A6" s="14" t="inlineStr">
        <is>
          <t>צעד 2 — ההחזר, בתא B11:   =ROUND(-PMT(B10,B7,B5),2)   — PMT מחזירה מספר שלילי (תשלום יוצא), ולכן המינוס לפניה.</t>
        </is>
      </c>
    </row>
    <row r="7">
      <c r="A7" s="14" t="inlineStr">
        <is>
          <t>צעד 3 — החודש הראשון, שורה 20:   B20 =B5   ·   C20 =IF(A20=$B$7,B20+D20,$B$11)   ·   D20 =ROUND(B20*$B$10,2)   ·   E20 =C20-D20   ·   F20 =B20-E20</t>
        </is>
      </c>
    </row>
    <row r="8">
      <c r="A8" s="14" t="inlineStr">
        <is>
          <t>צעד 4 — החודש השני, שורה 21:   B21 =F20, ואת C20 עד F20 מעתיקים ל־C21 עד F21.</t>
        </is>
      </c>
    </row>
    <row r="9">
      <c r="A9" s="14" t="inlineStr">
        <is>
          <t>אחר כך מסמנים את B21 עד F21 ומעתיקים למטה, בדיוק עד השורה של החודש האחרון (המספר בעמודה A).</t>
        </is>
      </c>
    </row>
    <row r="10">
      <c r="A10" s="14" t="inlineStr">
        <is>
          <t>בגיליון הפתור כל נוסחה בלוח עטופה ב־IF נוסף: אם מספר החודש (עמודה A) גדול ממספר החודשים (B7), השורה נשארת ריקה. כך הלוח עובד לכל תקופה עד 360 חודשים בלי להעתיק מחדש.</t>
        </is>
      </c>
    </row>
    <row r="11">
      <c r="A11" s="14" t="inlineStr">
        <is>
          <t>צעד 5 — הבדיקה בתא B17 מראה ✓ כשסך הקרן שווה להלוואה והיתרה בסוף החודש האחרון היא 0.</t>
        </is>
      </c>
    </row>
    <row r="12">
      <c r="A12" s="13" t="inlineStr">
        <is>
          <t>Excel ו־Google Sheets</t>
        </is>
      </c>
    </row>
    <row r="13">
      <c r="A13" s="14" t="inlineStr">
        <is>
          <t>בחלק מההגדרות האזוריות מפרידים בין הארגומנטים בנקודה־פסיק:   =ROUND(B20*$B$10;2)</t>
        </is>
      </c>
    </row>
    <row r="14">
      <c r="A14" s="14" t="inlineStr">
        <is>
          <t>בתא הריבית כתבו 6% עם סימן האחוז, או 0.06. בלי הסימן, 6 הוא 600%.</t>
        </is>
      </c>
    </row>
    <row r="15">
      <c r="A15" s="14" t="inlineStr">
        <is>
          <t>ב־Google Sheets: מעלים את הקובץ ל־Google Drive ופותחים אותו; הנוסחאות נשארות.</t>
        </is>
      </c>
    </row>
    <row r="16">
      <c r="A16" s="13" t="inlineStr">
        <is>
          <t>ההשוואה</t>
        </is>
      </c>
    </row>
    <row r="17">
      <c r="A17" s="14" t="inlineStr">
        <is>
          <t>בסדנה 3.12 באתר הקורס מכניסים את ההחזר בחודש 1, ההחזר בחודש האחרון, סך התשלומים וסך הריבית (התאים B11, B13, B14, B15), והדף משווה אותם למחשבון של הקורס.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Mogi course (scripts/build-sheets.py)</dc:creator>
  <dc:title xmlns:dc="http://purl.org/dc/elements/1.1/">לוח סילוקין בשפיצר — סדנה 3.12</dc:title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