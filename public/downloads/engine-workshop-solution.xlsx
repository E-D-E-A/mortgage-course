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נוע" sheetId="1" state="visible" r:id="rId1"/>
    <sheet xmlns:r="http://schemas.openxmlformats.org/officeDocument/2006/relationships" name="בדיקה" sheetId="2" state="visible" r:id="rId2"/>
    <sheet xmlns:r="http://schemas.openxmlformats.org/officeDocument/2006/relationships" name="הוראות" sheetId="3" state="visible" r:id="rId3"/>
  </sheets>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7">
    <font>
      <name val="Calibri"/>
      <family val="2"/>
      <color theme="1"/>
      <sz val="11"/>
      <scheme val="minor"/>
    </font>
    <font>
      <name val="Arial"/>
      <b val="1"/>
      <color rgb="0003071E"/>
      <sz val="14"/>
    </font>
    <font>
      <name val="Arial"/>
      <color rgb="004B5165"/>
      <sz val="10"/>
    </font>
    <font>
      <name val="Arial"/>
      <b val="1"/>
      <color rgb="0003071E"/>
      <sz val="11"/>
    </font>
    <font>
      <name val="Arial"/>
      <color rgb="001C2233"/>
      <sz val="11"/>
    </font>
    <font>
      <name val="Arial"/>
      <b val="1"/>
      <color rgb="00FFFFFF"/>
      <sz val="11"/>
    </font>
    <font>
      <name val="Arial"/>
      <b val="1"/>
      <color rgb="0003071E"/>
      <sz val="13"/>
    </font>
  </fonts>
  <fills count="4">
    <fill>
      <patternFill/>
    </fill>
    <fill>
      <patternFill patternType="gray125"/>
    </fill>
    <fill>
      <patternFill patternType="solid">
        <fgColor rgb="00A7FFEB"/>
      </patternFill>
    </fill>
    <fill>
      <patternFill patternType="solid">
        <fgColor rgb="0003071E"/>
      </patternFill>
    </fill>
  </fills>
  <borders count="2">
    <border>
      <left/>
      <right/>
      <top/>
      <bottom/>
      <diagonal/>
    </border>
    <border>
      <left style="thin">
        <color rgb="00DDE1E7"/>
      </left>
      <right style="thin">
        <color rgb="00DDE1E7"/>
      </right>
      <top style="thin">
        <color rgb="00DDE1E7"/>
      </top>
      <bottom style="thin">
        <color rgb="00DDE1E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4" fontId="3" fillId="2" borderId="1" pivotButton="0" quotePrefix="0" xfId="0"/>
    <xf numFmtId="0" fontId="0" fillId="2" borderId="1" pivotButton="0" quotePrefix="0" xfId="0"/>
    <xf numFmtId="1" fontId="0" fillId="2" borderId="1" pivotButton="0" quotePrefix="0" xfId="0"/>
    <xf numFmtId="2" fontId="0" fillId="2" borderId="1" pivotButton="0" quotePrefix="0" xfId="0"/>
    <xf numFmtId="1" fontId="3" fillId="2" borderId="1" pivotButton="0" quotePrefix="0" xfId="0"/>
    <xf numFmtId="4" fontId="0" fillId="0" borderId="0" pivotButton="0" quotePrefix="0" xfId="0"/>
    <xf numFmtId="2" fontId="3" fillId="2" borderId="1" pivotButton="0" quotePrefix="0" xfId="0"/>
    <xf numFmtId="0" fontId="3" fillId="2" borderId="1" pivotButton="0" quotePrefix="0" xfId="0"/>
    <xf numFmtId="0" fontId="5" fillId="3" borderId="0" applyAlignment="1" pivotButton="0" quotePrefix="0" xfId="0">
      <alignment horizontal="center" wrapText="1"/>
    </xf>
    <xf numFmtId="0" fontId="4" fillId="0" borderId="1" pivotButton="0" quotePrefix="0" xfId="0"/>
    <xf numFmtId="2" fontId="0" fillId="0" borderId="0" pivotButton="0" quotePrefix="0" xfId="0"/>
    <xf numFmtId="1" fontId="0" fillId="0" borderId="0" pivotButton="0" quotePrefix="0" xfId="0"/>
    <xf numFmtId="0" fontId="4" fillId="0" borderId="0" applyAlignment="1" pivotButton="0" quotePrefix="0" xfId="0">
      <alignment/>
    </xf>
    <xf numFmtId="0" fontId="5" fillId="3" borderId="0" applyAlignment="1" pivotButton="0" quotePrefix="0" xfId="0">
      <alignment horizontal="center" vertical="center" wrapText="1"/>
    </xf>
    <xf numFmtId="164" fontId="0" fillId="0" borderId="0" pivotButton="0" quotePrefix="0" xfId="0"/>
    <xf numFmtId="165" fontId="0" fillId="0" borderId="0" pivotButton="0" quotePrefix="0" xfId="0"/>
    <xf numFmtId="0" fontId="5" fillId="3" borderId="0" pivotButton="0" quotePrefix="0" xfId="0"/>
    <xf numFmtId="0" fontId="6"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54"/>
  <sheetViews>
    <sheetView rightToLeft="1" workbookViewId="0">
      <pane xSplit="1" ySplit="88" topLeftCell="B89"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34"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s>
  <sheetData>
    <row r="1">
      <c r="A1" s="1" t="inlineStr">
        <is>
          <t>מנוע קטן לבחירת תמהיל — סדנה 8.28 (פתור)</t>
        </is>
      </c>
    </row>
    <row r="2">
      <c r="A2" s="2" t="inlineStr">
        <is>
          <t>דוגמה לימודית — נתוני הלקוח והריביות להמחשה בלבד; אינם הצעת בנק או נתוני שוק עדכניים. נתונים סינתטיים. עתיד: זה לא קוד של Mogi.</t>
        </is>
      </c>
    </row>
    <row r="4">
      <c r="A4" s="3" t="inlineStr">
        <is>
          <t>נתוני התיק (סינתטיים, מתוך התיק של השלב)</t>
        </is>
      </c>
      <c r="E4" s="3" t="inlineStr">
        <is>
          <t>הצעת בנק לדוגמה, מול אומדן</t>
        </is>
      </c>
    </row>
    <row r="5">
      <c r="A5" s="4" t="inlineStr">
        <is>
          <t>מחיר הנכס (₪)</t>
        </is>
      </c>
      <c r="B5" s="5" t="n">
        <v>2200000</v>
      </c>
      <c r="E5" t="inlineStr">
        <is>
          <t>בנק ההצעה</t>
        </is>
      </c>
      <c r="F5" s="6" t="inlineStr">
        <is>
          <t>b</t>
        </is>
      </c>
    </row>
    <row r="6">
      <c r="A6" s="4" t="inlineStr">
        <is>
          <t>ההון העצמי של הבסיס (₪)</t>
        </is>
      </c>
      <c r="B6" s="5" t="n">
        <v>560000</v>
      </c>
      <c r="E6" t="inlineStr">
        <is>
          <t>חלק קבועה %</t>
        </is>
      </c>
      <c r="F6" s="7" t="n">
        <v>50</v>
      </c>
    </row>
    <row r="7">
      <c r="A7" s="4" t="inlineStr">
        <is>
          <t>חסכונות (₪)</t>
        </is>
      </c>
      <c r="B7" s="5" t="n">
        <v>40000</v>
      </c>
      <c r="E7" t="inlineStr">
        <is>
          <t>חלק פריים %</t>
        </is>
      </c>
      <c r="F7" s="7" t="n">
        <v>50</v>
      </c>
    </row>
    <row r="8">
      <c r="A8" s="4" t="inlineStr">
        <is>
          <t>תשלום לסגירת הלוואת הרכב (₪)</t>
        </is>
      </c>
      <c r="B8" s="5" t="n">
        <v>36000</v>
      </c>
      <c r="E8" t="inlineStr">
        <is>
          <t>חלק משתנה %</t>
        </is>
      </c>
      <c r="F8" s="7" t="n">
        <v>0</v>
      </c>
    </row>
    <row r="9">
      <c r="A9" s="4" t="inlineStr">
        <is>
          <t>החזר חודשי של הלוואת הרכב (₪)</t>
        </is>
      </c>
      <c r="B9" s="5" t="n">
        <v>1450</v>
      </c>
      <c r="E9" t="inlineStr">
        <is>
          <t>ריבית קבועה בהצעה (%)</t>
        </is>
      </c>
      <c r="F9" s="8" t="n">
        <v>4.35</v>
      </c>
    </row>
    <row r="10">
      <c r="A10" s="4" t="inlineStr">
        <is>
          <t>חודשים שנשארו להלוואת הרכב</t>
        </is>
      </c>
      <c r="B10" s="9" t="n">
        <v>26</v>
      </c>
      <c r="E10" t="inlineStr">
        <is>
          <t>ריבית פריים בהצעה (%)</t>
        </is>
      </c>
      <c r="F10" s="8" t="n">
        <v>4.65</v>
      </c>
    </row>
    <row r="11">
      <c r="A11" s="4" t="inlineStr">
        <is>
          <t>הכנסה נטו של לווה 1 (₪)</t>
        </is>
      </c>
      <c r="B11" s="5" t="n">
        <v>12400</v>
      </c>
      <c r="E11" t="inlineStr">
        <is>
          <t>ריבית משתנה בהצעה (%)</t>
        </is>
      </c>
      <c r="F11" s="8" t="n">
        <v>0</v>
      </c>
    </row>
    <row r="12">
      <c r="A12" s="4" t="inlineStr">
        <is>
          <t>הכנסה נטו של לווה 2 (₪)</t>
        </is>
      </c>
      <c r="B12" s="5" t="n">
        <v>9300</v>
      </c>
    </row>
    <row r="13">
      <c r="A13" s="4" t="inlineStr">
        <is>
          <t>הכנסת הורה, אם מצטרף (₪)</t>
        </is>
      </c>
      <c r="B13" s="5" t="n">
        <v>4000</v>
      </c>
      <c r="E13" s="4" t="inlineStr">
        <is>
          <t>אומדן: ההחזר הראשון (₪)</t>
        </is>
      </c>
      <c r="F13" s="10">
        <f>IF($F$6&gt;0,ROUND(-PMT(INDEX($C$28:$C$31,MATCH($F$5,$A$28:$A$31,0))/1200,$B$39,ROUND(($B$5-$B$6)*$F$6/100,2)),2),0)+IF($F$7&gt;0,ROUND(-PMT(INDEX($D$28:$D$31,MATCH($F$5,$A$28:$A$31,0))/1200,$B$39,ROUND(($B$5-$B$6)*$F$7/100,2)),2),0)+IF($F$8&gt;0,ROUND(-PMT(INDEX($E$28:$E$31,MATCH($F$5,$A$28:$A$31,0))/1200,$B$39,ROUND(($B$5-$B$6)*$F$8/100,2)),2),0)</f>
        <v>8310.78</v>
      </c>
    </row>
    <row r="14">
      <c r="A14" s="4" t="inlineStr">
        <is>
          <t>ההחזר המרבי שהלקוח קבע (₪)</t>
        </is>
      </c>
      <c r="B14" s="5" t="n">
        <v>8300</v>
      </c>
      <c r="E14" s="4" t="inlineStr">
        <is>
          <t>הצעה: ההחזר הראשון (₪)</t>
        </is>
      </c>
      <c r="F14" s="10">
        <f>IF($F$6&gt;0,ROUND(-PMT($F$9/1200,$B$39,ROUND(($B$5-$B$6)*$F$6/100,2)),2),0)+IF($F$7&gt;0,ROUND(-PMT($F$10/1200,$B$39,ROUND(($B$5-$B$6)*$F$7/100,2)),2),0)+IF($F$8&gt;0,ROUND(-PMT($F$11/1200,$B$39,ROUND(($B$5-$B$6)*$F$8/100,2)),2),0)</f>
        <v>8310.28</v>
      </c>
    </row>
    <row r="15">
      <c r="A15" s="4" t="inlineStr">
        <is>
          <t>יעד יחס ההחזר של הלקוח (%)</t>
        </is>
      </c>
      <c r="B15" s="11" t="n">
        <v>40</v>
      </c>
      <c r="E15" s="4" t="inlineStr">
        <is>
          <t>הפער בהחזר הראשון (₪)</t>
        </is>
      </c>
      <c r="F15" s="10">
        <f>F14-F13</f>
        <v>-0.499999999998181</v>
      </c>
    </row>
    <row r="16">
      <c r="E16" s="4" t="inlineStr">
        <is>
          <t>אומדן: סך התשלומים (₪)</t>
        </is>
      </c>
      <c r="F16" s="10">
        <f>(IF($F$6&gt;0,-PMT(INDEX($C$28:$C$31,MATCH($F$5,$A$28:$A$31,0))/1200,$B$39,ROUND(($B$5-$B$6)*$F$6/100,2)),0)+IF($F$7&gt;0,-PMT(INDEX($D$28:$D$31,MATCH($F$5,$A$28:$A$31,0))/1200,$B$39,ROUND(($B$5-$B$6)*$F$7/100,2)),0)+IF($F$8&gt;0,-PMT(INDEX($E$28:$E$31,MATCH($F$5,$A$28:$A$31,0))/1200,$B$39,ROUND(($B$5-$B$6)*$F$8/100,2)),0))*$B$39</f>
        <v>2991879.30977642</v>
      </c>
    </row>
    <row r="17">
      <c r="A17" s="3" t="inlineStr">
        <is>
          <t>הבחירות שלכם — מיצוב הבקשה (שנו כאן)</t>
        </is>
      </c>
      <c r="E17" s="4" t="inlineStr">
        <is>
          <t>הצעה: סך התשלומים (₪)</t>
        </is>
      </c>
      <c r="F17" s="10">
        <f>(IF($F$6&gt;0,-PMT($F$9/1200,$B$39,ROUND(($B$5-$B$6)*$F$6/100,2)),0)+IF($F$7&gt;0,-PMT($F$10/1200,$B$39,ROUND(($B$5-$B$6)*$F$7/100,2)),0)+IF($F$8&gt;0,-PMT($F$11/1200,$B$39,ROUND(($B$5-$B$6)*$F$8/100,2)),0))*$B$39</f>
        <v>2991700.27032515</v>
      </c>
    </row>
    <row r="18">
      <c r="A18" s="4" t="inlineStr">
        <is>
          <t>הון עצמי נוסף מהחסכונות (₪)</t>
        </is>
      </c>
      <c r="B18" s="5" t="n">
        <v>20000</v>
      </c>
      <c r="C18" s="2" t="inlineStr">
        <is>
          <t>הערך ההתחלתי הוא הבחירה של שיעור 8.28</t>
        </is>
      </c>
      <c r="E18" s="4" t="inlineStr">
        <is>
          <t>הפער בסך התשלומים (₪)</t>
        </is>
      </c>
      <c r="F18" s="10">
        <f>F17-F16</f>
        <v>-179.039451272693</v>
      </c>
    </row>
    <row r="19">
      <c r="A19" s="4" t="inlineStr">
        <is>
          <t>סוגרים את הלוואת הרכב? (1 כן, 0 לא)</t>
        </is>
      </c>
      <c r="B19" s="9" t="n">
        <v>0</v>
      </c>
    </row>
    <row r="20">
      <c r="A20" s="4" t="inlineStr">
        <is>
          <t>הורה מצטרף כלווה? (1 כן, 0 לא)</t>
        </is>
      </c>
      <c r="B20" s="9" t="n">
        <v>0</v>
      </c>
    </row>
    <row r="21">
      <c r="A21" s="4" t="inlineStr">
        <is>
          <t>בנק (a, b, c או d)</t>
        </is>
      </c>
      <c r="B21" s="12" t="inlineStr">
        <is>
          <t>a</t>
        </is>
      </c>
      <c r="C21" s="2" t="inlineStr">
        <is>
          <t>ארבעה בנקים בדויים</t>
        </is>
      </c>
    </row>
    <row r="22">
      <c r="A22" s="4" t="inlineStr">
        <is>
          <t>משקל: ההחזר הראשון</t>
        </is>
      </c>
      <c r="B22" s="9" t="n">
        <v>40</v>
      </c>
      <c r="C22" s="2" t="inlineStr">
        <is>
          <t>להדגמה: לא החלטה של Mogi</t>
        </is>
      </c>
    </row>
    <row r="23">
      <c r="A23" s="4" t="inlineStr">
        <is>
          <t>משקל: סך התשלומים</t>
        </is>
      </c>
      <c r="B23" s="9" t="n">
        <v>30</v>
      </c>
    </row>
    <row r="24">
      <c r="A24" s="4" t="inlineStr">
        <is>
          <t>משקל: החשיפה</t>
        </is>
      </c>
      <c r="B24" s="9" t="n">
        <v>30</v>
      </c>
    </row>
    <row r="26">
      <c r="A26" s="3" t="inlineStr">
        <is>
          <t>הבנקים הבדויים: מחירון (אחוז לשנה) וקווי סירוב</t>
        </is>
      </c>
    </row>
    <row r="27">
      <c r="A27" s="13" t="inlineStr">
        <is>
          <t>קוד</t>
        </is>
      </c>
      <c r="B27" s="13" t="inlineStr">
        <is>
          <t>שם</t>
        </is>
      </c>
      <c r="C27" s="13" t="inlineStr">
        <is>
          <t>קבועה</t>
        </is>
      </c>
      <c r="D27" s="13" t="inlineStr">
        <is>
          <t>פריים</t>
        </is>
      </c>
      <c r="E27" s="13" t="inlineStr">
        <is>
          <t>משתנה</t>
        </is>
      </c>
      <c r="F27" s="13" t="inlineStr">
        <is>
          <t>סירוב ביחס החזר (%)</t>
        </is>
      </c>
      <c r="G27" s="13" t="inlineStr">
        <is>
          <t>סירוב בשיעור מימון (%)</t>
        </is>
      </c>
    </row>
    <row r="28">
      <c r="A28" s="14" t="inlineStr">
        <is>
          <t>a</t>
        </is>
      </c>
      <c r="B28" s="14" t="inlineStr">
        <is>
          <t>בנק א׳</t>
        </is>
      </c>
      <c r="C28" s="14" t="n">
        <v>4.4</v>
      </c>
      <c r="D28" s="14" t="n">
        <v>4.6</v>
      </c>
      <c r="E28" s="14" t="n">
        <v>4.1</v>
      </c>
      <c r="F28" s="14" t="n">
        <v>45</v>
      </c>
      <c r="G28" s="14" t="n">
        <v>75</v>
      </c>
    </row>
    <row r="29">
      <c r="A29" s="14" t="inlineStr">
        <is>
          <t>b</t>
        </is>
      </c>
      <c r="B29" s="14" t="inlineStr">
        <is>
          <t>בנק ב׳</t>
        </is>
      </c>
      <c r="C29" s="14" t="n">
        <v>4.3</v>
      </c>
      <c r="D29" s="14" t="n">
        <v>4.7</v>
      </c>
      <c r="E29" s="14" t="n">
        <v>4</v>
      </c>
      <c r="F29" s="14" t="n">
        <v>50</v>
      </c>
      <c r="G29" s="14" t="n">
        <v>75</v>
      </c>
    </row>
    <row r="30">
      <c r="A30" s="14" t="inlineStr">
        <is>
          <t>c</t>
        </is>
      </c>
      <c r="B30" s="14" t="inlineStr">
        <is>
          <t>בנק ג׳</t>
        </is>
      </c>
      <c r="C30" s="14" t="n">
        <v>4.35</v>
      </c>
      <c r="D30" s="14" t="n">
        <v>4.55</v>
      </c>
      <c r="E30" s="14" t="n">
        <v>4.2</v>
      </c>
      <c r="F30" s="14" t="n">
        <v>50</v>
      </c>
      <c r="G30" s="14" t="n">
        <v>75</v>
      </c>
    </row>
    <row r="31">
      <c r="A31" s="14" t="inlineStr">
        <is>
          <t>d</t>
        </is>
      </c>
      <c r="B31" s="14" t="inlineStr">
        <is>
          <t>בנק ד׳</t>
        </is>
      </c>
      <c r="C31" s="14" t="n">
        <v>4.45</v>
      </c>
      <c r="D31" s="14" t="n">
        <v>4.65</v>
      </c>
      <c r="E31" s="14" t="n">
        <v>4.15</v>
      </c>
      <c r="F31" s="14" t="n">
        <v>50</v>
      </c>
      <c r="G31" s="14" t="n">
        <v>70</v>
      </c>
    </row>
    <row r="33">
      <c r="A33" s="3" t="inlineStr">
        <is>
          <t>הכללים (כפי שתועדו בקורס; הקווים של הרגולציה: לא אומת)</t>
        </is>
      </c>
    </row>
    <row r="34">
      <c r="A34" s="4" t="inlineStr">
        <is>
          <t>תקרת שיעור מימון (%)</t>
        </is>
      </c>
      <c r="B34" s="15" t="n">
        <v>75</v>
      </c>
    </row>
    <row r="35">
      <c r="A35" s="4" t="inlineStr">
        <is>
          <t>תקרת יחס ההחזר (%)</t>
        </is>
      </c>
      <c r="B35" s="15" t="n">
        <v>50</v>
      </c>
    </row>
    <row r="36">
      <c r="A36" s="4" t="inlineStr">
        <is>
          <t>החלק המרבי בריבית משתנה: מונה</t>
        </is>
      </c>
      <c r="B36" s="16" t="n">
        <v>2</v>
      </c>
    </row>
    <row r="37">
      <c r="A37" s="4" t="inlineStr">
        <is>
          <t>החלק המרבי בריבית משתנה: מכנה</t>
        </is>
      </c>
      <c r="B37" s="16" t="n">
        <v>3</v>
      </c>
    </row>
    <row r="38">
      <c r="A38" s="4" t="inlineStr">
        <is>
          <t>התקופה המרבית (חודשים)</t>
        </is>
      </c>
      <c r="B38" s="16" t="n">
        <v>360</v>
      </c>
    </row>
    <row r="39">
      <c r="A39" s="4" t="inlineStr">
        <is>
          <t>התקופה של כל מסלול בחיפוש (חודשים)</t>
        </is>
      </c>
      <c r="B39" s="16" t="n">
        <v>360</v>
      </c>
    </row>
    <row r="40">
      <c r="A40" s="4" t="inlineStr">
        <is>
          <t>תרחיש לחץ: פריים עולה (נקודות אחוז, מהשנה השנייה)</t>
        </is>
      </c>
      <c r="B40" s="15" t="n">
        <v>2</v>
      </c>
    </row>
    <row r="41">
      <c r="A41" s="4" t="inlineStr">
        <is>
          <t>תרחיש לחץ: העוגן עולה בעדכון (נקודות אחוז)</t>
        </is>
      </c>
      <c r="B41" s="15" t="n">
        <v>2</v>
      </c>
    </row>
    <row r="42">
      <c r="A42" s="4" t="inlineStr">
        <is>
          <t>חודשים בין עדכוני הריבית במסלול משתנה</t>
        </is>
      </c>
      <c r="B42" s="16" t="n">
        <v>60</v>
      </c>
    </row>
    <row r="44">
      <c r="A44" s="3" t="inlineStr">
        <is>
          <t>מיצוב: מהבחירות לבקשה</t>
        </is>
      </c>
    </row>
    <row r="45">
      <c r="A45" s="4" t="inlineStr">
        <is>
          <t>ההון העצמי שנכנס לעסקה (₪)</t>
        </is>
      </c>
      <c r="B45" s="10">
        <f>$B$6+$B$18</f>
        <v>580000</v>
      </c>
    </row>
    <row r="46">
      <c r="A46" s="4" t="inlineStr">
        <is>
          <t>ההון העצמי הזמין (₪)</t>
        </is>
      </c>
      <c r="B46" s="10">
        <f>$B$6+MAX($B$7-IF($B$19=1,$B$8,0),0)</f>
        <v>600000</v>
      </c>
    </row>
    <row r="47">
      <c r="A47" s="4" t="inlineStr">
        <is>
          <t>סכום ההלוואה (₪)</t>
        </is>
      </c>
      <c r="B47" s="10">
        <f>$B$5-$B$45</f>
        <v>1620000</v>
      </c>
    </row>
    <row r="48">
      <c r="A48" s="4" t="inlineStr">
        <is>
          <t>שיעור מימון (%)</t>
        </is>
      </c>
      <c r="B48" s="15">
        <f>$B$47/$B$5*100</f>
        <v>73.6363636363636</v>
      </c>
    </row>
    <row r="49">
      <c r="A49" s="4" t="inlineStr">
        <is>
          <t>הכנסה מוכרת (₪)</t>
        </is>
      </c>
      <c r="B49" s="10">
        <f>$B$11+$B$12+IF($B$20=1,$B$13,0)</f>
        <v>21700</v>
      </c>
    </row>
    <row r="50">
      <c r="A50" s="4" t="inlineStr">
        <is>
          <t>הלוואת הרכב נספרת בחישוב (₪, כשנשארו מעל 18 חודשים)</t>
        </is>
      </c>
      <c r="B50" s="10">
        <f>IF(AND($B$19=0,$B$10&gt;18),$B$9,0)</f>
        <v>1450</v>
      </c>
    </row>
    <row r="51">
      <c r="A51" s="4" t="inlineStr">
        <is>
          <t>הכנסה פנויה (₪)</t>
        </is>
      </c>
      <c r="B51" s="10">
        <f>$B$49-$B$50</f>
        <v>20250</v>
      </c>
    </row>
    <row r="52">
      <c r="A52" s="4" t="inlineStr">
        <is>
          <t>מחירון הבנק: קבועה (%)</t>
        </is>
      </c>
      <c r="B52" s="15">
        <f>INDEX($C$28:$C$31,MATCH($B$21,$A$28:$A$31,0))</f>
        <v>4.4</v>
      </c>
    </row>
    <row r="53">
      <c r="A53" s="4" t="inlineStr">
        <is>
          <t>מחירון הבנק: פריים (%)</t>
        </is>
      </c>
      <c r="B53" s="15">
        <f>INDEX($D$28:$D$31,MATCH($B$21,$A$28:$A$31,0))</f>
        <v>4.6</v>
      </c>
    </row>
    <row r="54">
      <c r="A54" s="4" t="inlineStr">
        <is>
          <t>מחירון הבנק: משתנה (%)</t>
        </is>
      </c>
      <c r="B54" s="15">
        <f>INDEX($E$28:$E$31,MATCH($B$21,$A$28:$A$31,0))</f>
        <v>4.1</v>
      </c>
    </row>
    <row r="55">
      <c r="A55" s="4" t="inlineStr">
        <is>
          <t>קו הסירוב של הבנק ביחס החזר (%)</t>
        </is>
      </c>
      <c r="B55" s="15">
        <f>INDEX($F$28:$F$31,MATCH($B$21,$A$28:$A$31,0))</f>
        <v>45</v>
      </c>
    </row>
    <row r="56">
      <c r="A56" s="4" t="inlineStr">
        <is>
          <t>קו הסירוב של הבנק בשיעור מימון (%)</t>
        </is>
      </c>
      <c r="B56" s="15">
        <f>INDEX($G$28:$G$31,MATCH($B$21,$A$28:$A$31,0))</f>
        <v>75</v>
      </c>
    </row>
    <row r="58">
      <c r="A58" s="3" t="inlineStr">
        <is>
          <t>תוצאות החיפוש</t>
        </is>
      </c>
    </row>
    <row r="59">
      <c r="A59" s="4" t="inlineStr">
        <is>
          <t>כמה מועמדים ברשת</t>
        </is>
      </c>
      <c r="B59" s="16">
        <f>COUNTA($A$89:$A$154)</f>
        <v>66</v>
      </c>
    </row>
    <row r="60">
      <c r="A60" s="4" t="inlineStr">
        <is>
          <t>כמה מהם אפשריים</t>
        </is>
      </c>
      <c r="B60" s="16">
        <f>SUM($AC$89:$AC$154)</f>
        <v>14</v>
      </c>
    </row>
    <row r="61">
      <c r="A61" s="4" t="inlineStr">
        <is>
          <t>כמה מהם יעילים</t>
        </is>
      </c>
      <c r="B61" s="16">
        <f>SUM($AE$89:$AE$154)</f>
        <v>6</v>
      </c>
    </row>
    <row r="62">
      <c r="A62" s="4" t="inlineStr">
        <is>
          <t>המועמד שנבחר</t>
        </is>
      </c>
      <c r="B62" t="str">
        <f>IFERROR(INDEX($A$89:$A$154,MATCH(1,$AM$89:$AM$154,0)),"אין מועמד אפשרי")</f>
        <v>g40-0-60</v>
      </c>
    </row>
    <row r="63">
      <c r="A63" s="4" t="inlineStr">
        <is>
          <t>ההחזר הראשון שלו (₪)</t>
        </is>
      </c>
      <c r="B63" s="10">
        <f>IFERROR(INDEX($K$89:$K$154,MATCH(1,$AM$89:$AM$154,0)),"")</f>
        <v>7941.62</v>
      </c>
    </row>
    <row r="64">
      <c r="A64" s="4" t="inlineStr">
        <is>
          <t>סך התשלומים שלו (₪)</t>
        </is>
      </c>
      <c r="B64" s="10">
        <f>IFERROR(INDEX($M$89:$M$154,MATCH(1,$AM$89:$AM$154,0)),"")</f>
        <v>2858982.79147512</v>
      </c>
    </row>
    <row r="65">
      <c r="A65" s="4" t="inlineStr">
        <is>
          <t>החשיפה שלו (₪)</t>
        </is>
      </c>
      <c r="B65" s="10">
        <f>IFERROR(INDEX($O$89:$O$154,MATCH(1,$AM$89:$AM$154,0)),"")</f>
        <v>1030.73179174652</v>
      </c>
    </row>
    <row r="66">
      <c r="A66" s="4" t="inlineStr">
        <is>
          <t>המקום השני</t>
        </is>
      </c>
      <c r="B66" t="str">
        <f>IFERROR(INDEX($A$89:$A$154,MATCH(2,$AM$89:$AM$154,0)),"אין")</f>
        <v>g50-0-50</v>
      </c>
    </row>
    <row r="67">
      <c r="A67" s="4" t="inlineStr">
        <is>
          <t>ההפרש בהחזר הראשון: השני פחות הנבחר (₪)</t>
        </is>
      </c>
      <c r="B67" s="10">
        <f>IFERROR(INDEX($K$89:$K$154,MATCH(2,$AM$89:$AM$154,0))-$B$63,"")</f>
        <v>28.4500000000007</v>
      </c>
    </row>
    <row r="68">
      <c r="A68" s="4" t="inlineStr">
        <is>
          <t>ההפרש בסך התשלומים (₪)</t>
        </is>
      </c>
      <c r="B68" s="10">
        <f>IFERROR(INDEX($M$89:$M$154,MATCH(2,$AM$89:$AM$154,0))-$B$64,"")</f>
        <v>10242.4728013524</v>
      </c>
    </row>
    <row r="69">
      <c r="A69" s="4" t="inlineStr">
        <is>
          <t>ההפרש בחשיפה (₪)</t>
        </is>
      </c>
      <c r="B69" s="10">
        <f>IFERROR(INDEX($O$89:$O$154,MATCH(2,$AM$89:$AM$154,0))-$B$65,"")</f>
        <v>-171.787507752555</v>
      </c>
    </row>
    <row r="71">
      <c r="A71" s="3" t="inlineStr">
        <is>
          <t>למה נפסלו מועמדים: כמה נפסלו בכל אילוץ</t>
        </is>
      </c>
    </row>
    <row r="72">
      <c r="A72" s="4" t="inlineStr">
        <is>
          <t>סכום המסלולים שווה להלוואה</t>
        </is>
      </c>
      <c r="B72">
        <f>SUM($R$89:$R$154)</f>
        <v>0</v>
      </c>
    </row>
    <row r="73">
      <c r="A73" s="4" t="inlineStr">
        <is>
          <t>ההון העצמי קיים</t>
        </is>
      </c>
      <c r="B73">
        <f>SUM($S$89:$S$154)</f>
        <v>0</v>
      </c>
    </row>
    <row r="74">
      <c r="A74" s="4" t="inlineStr">
        <is>
          <t>שיעור מימון עד התקרה</t>
        </is>
      </c>
      <c r="B74">
        <f>SUM($T$89:$T$154)</f>
        <v>0</v>
      </c>
    </row>
    <row r="75">
      <c r="A75" s="4" t="inlineStr">
        <is>
          <t>יחס החזר עד 50%</t>
        </is>
      </c>
      <c r="B75">
        <f>SUM($U$89:$U$154)</f>
        <v>0</v>
      </c>
    </row>
    <row r="76">
      <c r="A76" s="4" t="inlineStr">
        <is>
          <t>לפחות שליש בריבית קבועה</t>
        </is>
      </c>
      <c r="B76">
        <f>SUM($V$89:$V$154)</f>
        <v>38</v>
      </c>
    </row>
    <row r="77">
      <c r="A77" s="4" t="inlineStr">
        <is>
          <t>עד 30 שנה</t>
        </is>
      </c>
      <c r="B77">
        <f>SUM($W$89:$W$154)</f>
        <v>0</v>
      </c>
    </row>
    <row r="78">
      <c r="A78" s="4" t="inlineStr">
        <is>
          <t>יחס ההחזר עד הקו של הבנק</t>
        </is>
      </c>
      <c r="B78">
        <f>SUM($X$89:$X$154)</f>
        <v>0</v>
      </c>
    </row>
    <row r="79">
      <c r="A79" s="4" t="inlineStr">
        <is>
          <t>שיעור המימון עד הקו של הבנק</t>
        </is>
      </c>
      <c r="B79">
        <f>SUM($Y$89:$Y$154)</f>
        <v>0</v>
      </c>
    </row>
    <row r="80">
      <c r="A80" s="4" t="inlineStr">
        <is>
          <t>ההחזר עד המרבי שהלקוח קבע</t>
        </is>
      </c>
      <c r="B80">
        <f>SUM($Z$89:$Z$154)</f>
        <v>1</v>
      </c>
    </row>
    <row r="81">
      <c r="A81" s="4" t="inlineStr">
        <is>
          <t>יחס ההחזר עד יעד הלקוח</t>
        </is>
      </c>
      <c r="B81">
        <f>SUM($AA$89:$AA$154)</f>
        <v>31</v>
      </c>
    </row>
    <row r="82">
      <c r="B82" t="inlineStr">
        <is>
          <t>הנמוך</t>
        </is>
      </c>
      <c r="C82" t="inlineStr">
        <is>
          <t>הגבוה</t>
        </is>
      </c>
    </row>
    <row r="83">
      <c r="A83" s="3" t="inlineStr">
        <is>
          <t>ההסבר, מתוך המספרים בלבד</t>
        </is>
      </c>
      <c r="B83" s="10">
        <f>IF(COUNT($AF$89:$AF$154)=0,MIN($K$89:$K$154),MIN($AF$89:$AF$154))</f>
        <v>7941.62</v>
      </c>
      <c r="C83" s="10">
        <f>IF(COUNT($AF$89:$AF$154)=0,MAX($K$89:$K$154),MAX($AF$89:$AF$154))</f>
        <v>8093.93</v>
      </c>
    </row>
    <row r="84">
      <c r="A84" s="17" t="str">
        <f>IF(ISNUMBER($B$63),"נבחר תמהיל "&amp;INDEX($B$89:$B$154,MATCH(1,$AM$89:$AM$154,0))&amp;"% קבועה, "&amp;INDEX($C$89:$C$154,MATCH(1,$AM$89:$AM$154,0))&amp;"% פריים ו־"&amp;INDEX($D$89:$D$154,MATCH(1,$AM$89:$AM$154,0))&amp;"% משתנה. ההחזר הראשון "&amp;TEXT($B$63,"#,##0.00")&amp;" ₪, סך התשלומים "&amp;TEXT($B$64,"#,##0")&amp;" ₪, החשיפה "&amp;TEXT($B$65,"#,##0.00")&amp;" ₪.","אף מועמד לא עבר את כל האילוצים: שנו את הבחירות.")</f>
        <v>נבחר תמהיל 40% קבועה, 0% פריים ו־60% משתנה. ההחזר הראשון 7,941.62 ₪, סך התשלומים 2,858,983 ₪, החשיפה 1,030.73 ₪.</v>
      </c>
      <c r="B84" s="10">
        <f>IF(COUNT($AG$89:$AG$154)=0,MIN($M$89:$M$154),MIN($AG$89:$AG$154))</f>
        <v>2858982.79147512</v>
      </c>
      <c r="C84" s="10">
        <f>IF(COUNT($AG$89:$AG$154)=0,MAX($M$89:$M$154),MAX($AG$89:$AG$154))</f>
        <v>2913813.54810378</v>
      </c>
    </row>
    <row r="85">
      <c r="A85" s="17" t="str">
        <f>"נפסלו "&amp;($B$59-$B$60)&amp;" מתוך "&amp;$B$59&amp;" מועמדים. מתוך האפשריים "&amp;$B$61&amp;" יעילים: לא ניתן לשפר בהם מדד בלי לפגוע באחר."</f>
        <v>נפסלו 52 מתוך 66 מועמדים. מתוך האפשריים 6 יעילים: לא ניתן לשפר בהם מדד בלי לפגוע באחר.</v>
      </c>
      <c r="B85" s="10">
        <f>IF(COUNT($AH$89:$AH$154)=0,MIN($O$89:$O$154),MIN($AH$89:$AH$154))</f>
        <v>171.794252983748</v>
      </c>
      <c r="C85" s="10">
        <f>IF(COUNT($AH$89:$AH$154)=0,MAX($O$89:$O$154),MAX($AH$89:$AH$154))</f>
        <v>1112.48244456499</v>
      </c>
    </row>
    <row r="86">
      <c r="A86" s="17" t="inlineStr">
        <is>
          <t>הניסוח במילים הוא רק ניסוח: כל מספר בו הוא מספר של המנוע. מודל שפה לעולם לא מחשב.</t>
        </is>
      </c>
    </row>
    <row r="88" ht="48" customHeight="1">
      <c r="A88" s="18" t="inlineStr">
        <is>
          <t>מועמד</t>
        </is>
      </c>
      <c r="B88" s="18" t="inlineStr">
        <is>
          <t>קבועה %</t>
        </is>
      </c>
      <c r="C88" s="18" t="inlineStr">
        <is>
          <t>פריים %</t>
        </is>
      </c>
      <c r="D88" s="18" t="inlineStr">
        <is>
          <t>משתנה %</t>
        </is>
      </c>
      <c r="E88" s="18" t="inlineStr">
        <is>
          <t>סכום קבועה</t>
        </is>
      </c>
      <c r="F88" s="18" t="inlineStr">
        <is>
          <t>סכום פריים</t>
        </is>
      </c>
      <c r="G88" s="18" t="inlineStr">
        <is>
          <t>סכום משתנה</t>
        </is>
      </c>
      <c r="H88" s="18" t="inlineStr">
        <is>
          <t>החזר ראשון קבועה</t>
        </is>
      </c>
      <c r="I88" s="18" t="inlineStr">
        <is>
          <t>החזר ראשון פריים</t>
        </is>
      </c>
      <c r="J88" s="18" t="inlineStr">
        <is>
          <t>החזר ראשון משתנה</t>
        </is>
      </c>
      <c r="K88" s="18" t="inlineStr">
        <is>
          <t>ההחזר הראשון</t>
        </is>
      </c>
      <c r="L88" s="18" t="inlineStr">
        <is>
          <t>ההחזר לחישוב היחס (בלי עיגול)</t>
        </is>
      </c>
      <c r="M88" s="18" t="inlineStr">
        <is>
          <t>סך התשלומים</t>
        </is>
      </c>
      <c r="N88" s="18" t="inlineStr">
        <is>
          <t>ההחזר הגבוה בלחץ</t>
        </is>
      </c>
      <c r="O88" s="18" t="inlineStr">
        <is>
          <t>חשיפה</t>
        </is>
      </c>
      <c r="P88" s="18" t="inlineStr">
        <is>
          <t>חלק משתנה %</t>
        </is>
      </c>
      <c r="Q88" s="18" t="inlineStr">
        <is>
          <t>יחס החזר %</t>
        </is>
      </c>
      <c r="R88" s="18" t="inlineStr">
        <is>
          <t>סכום המסלולים שווה להלוואה</t>
        </is>
      </c>
      <c r="S88" s="18" t="inlineStr">
        <is>
          <t>ההון העצמי קיים</t>
        </is>
      </c>
      <c r="T88" s="18" t="inlineStr">
        <is>
          <t>שיעור מימון עד התקרה</t>
        </is>
      </c>
      <c r="U88" s="18" t="inlineStr">
        <is>
          <t>יחס החזר עד 50%</t>
        </is>
      </c>
      <c r="V88" s="18" t="inlineStr">
        <is>
          <t>לפחות שליש בריבית קבועה</t>
        </is>
      </c>
      <c r="W88" s="18" t="inlineStr">
        <is>
          <t>עד 30 שנה</t>
        </is>
      </c>
      <c r="X88" s="18" t="inlineStr">
        <is>
          <t>יחס ההחזר עד הקו של הבנק</t>
        </is>
      </c>
      <c r="Y88" s="18" t="inlineStr">
        <is>
          <t>שיעור המימון עד הקו של הבנק</t>
        </is>
      </c>
      <c r="Z88" s="18" t="inlineStr">
        <is>
          <t>ההחזר עד המרבי שהלקוח קבע</t>
        </is>
      </c>
      <c r="AA88" s="18" t="inlineStr">
        <is>
          <t>יחס ההחזר עד יעד הלקוח</t>
        </is>
      </c>
      <c r="AB88" s="18" t="inlineStr">
        <is>
          <t>מספר סיבות פסילה</t>
        </is>
      </c>
      <c r="AC88" s="18" t="inlineStr">
        <is>
          <t>אפשרי? (1 כן)</t>
        </is>
      </c>
      <c r="AD88" s="18" t="inlineStr">
        <is>
          <t>כמה אפשריים שולטים עליו</t>
        </is>
      </c>
      <c r="AE88" s="18" t="inlineStr">
        <is>
          <t>יעיל? (1 כן)</t>
        </is>
      </c>
      <c r="AF88" s="18" t="inlineStr">
        <is>
          <t>ההחזר הראשון (אפשריים)</t>
        </is>
      </c>
      <c r="AG88" s="18" t="inlineStr">
        <is>
          <t>סך התשלומים (אפשריים)</t>
        </is>
      </c>
      <c r="AH88" s="18" t="inlineStr">
        <is>
          <t>חשיפה (אפשריים)</t>
        </is>
      </c>
      <c r="AI88" s="18" t="inlineStr">
        <is>
          <t>מנורמל: ראשון</t>
        </is>
      </c>
      <c r="AJ88" s="18" t="inlineStr">
        <is>
          <t>מנורמל: סך</t>
        </is>
      </c>
      <c r="AK88" s="18" t="inlineStr">
        <is>
          <t>מנורמל: חשיפה</t>
        </is>
      </c>
      <c r="AL88" s="18" t="inlineStr">
        <is>
          <t>ציון משוקלל</t>
        </is>
      </c>
      <c r="AM88" s="18" t="inlineStr">
        <is>
          <t>דירוג בין האפשריים</t>
        </is>
      </c>
    </row>
    <row r="89">
      <c r="A89" t="inlineStr">
        <is>
          <t>g0-0-100</t>
        </is>
      </c>
      <c r="B89" t="n">
        <v>0</v>
      </c>
      <c r="C89" t="n">
        <v>0</v>
      </c>
      <c r="D89" t="n">
        <v>100</v>
      </c>
      <c r="E89" s="10">
        <f>ROUND($B$47*B89/100,2)</f>
        <v>0</v>
      </c>
      <c r="F89" s="10">
        <f>ROUND($B$47*C89/100,2)</f>
        <v>0</v>
      </c>
      <c r="G89" s="10">
        <f>ROUND($B$47*D89/100,2)</f>
        <v>1620000</v>
      </c>
      <c r="H89" s="10">
        <f>IF(E89&gt;0,ROUND(-PMT($B$52/1200,$B$39,E89),2),0)</f>
        <v>0</v>
      </c>
      <c r="I89" s="10">
        <f>IF(F89&gt;0,ROUND(-PMT($B$53/1200,$B$39,F89),2),0)</f>
        <v>0</v>
      </c>
      <c r="J89" s="10">
        <f>IF(G89&gt;0,ROUND(-PMT($B$54/1200,$B$39,G89),2),0)</f>
        <v>7827.81</v>
      </c>
      <c r="K89" s="10">
        <f>H89+I89+J89</f>
        <v>7827.81</v>
      </c>
      <c r="L89" s="10">
        <f>IF(E89&gt;0,-PMT($B$52/1200,$B$39,E89),0)+IF(F89&gt;0,-PMT($B$53/1200,$B$39,F89),0)+IF(G89&gt;0,-PMT($B$54/1200,$B$39,G89),0)</f>
        <v>7827.8136118603</v>
      </c>
      <c r="M89" s="10">
        <f>L89*$B$39</f>
        <v>2818012.90026971</v>
      </c>
      <c r="N89" s="10">
        <f>IF(E89&gt;0,-PMT($B$52/1200,$B$39,E89),0)+IF(F89&gt;0,-PMT(($B$53+$B$40)/1200,$B$39-12,F89*((1+$B$53/1200)^$B$39-(1+$B$53/1200)^12)/((1+$B$53/1200)^$B$39-1)),0)+IF(G89&gt;0,-PMT(($B$54+$B$41)/1200,$B$39-$B$42,G89*((1+$B$54/1200)^$B$39-(1+$B$54/1200)^$B$42)/((1+$B$54/1200)^$B$39-1)),0)</f>
        <v>9545.70182275674</v>
      </c>
      <c r="O89" s="10">
        <f>N89-K89</f>
        <v>1717.89182275674</v>
      </c>
      <c r="P89" s="15">
        <f>C89+D89</f>
        <v>100</v>
      </c>
      <c r="Q89" s="15">
        <f>IF($B$51&gt;0,L89/$B$51*100,1000000)</f>
        <v>38.655869688199</v>
      </c>
      <c r="R89" s="16">
        <f>IF(ABS(E89+F89+G89-$B$47)&gt;0.005,1,0)</f>
        <v>0</v>
      </c>
      <c r="S89" s="16">
        <f>IF($B$45&gt;$B$46,1,0)</f>
        <v>0</v>
      </c>
      <c r="T89" s="16">
        <f>IF($B$48&gt;$B$34,1,0)</f>
        <v>0</v>
      </c>
      <c r="U89" s="16">
        <f>IF(Q89&gt;$B$35,1,0)</f>
        <v>0</v>
      </c>
      <c r="V89" s="16">
        <f>IF((F89+G89)*$B$37&gt;$B$47*$B$36,1,0)</f>
        <v>1</v>
      </c>
      <c r="W89" s="16">
        <f>IF($B$39&gt;$B$38,1,0)</f>
        <v>0</v>
      </c>
      <c r="X89" s="16">
        <f>IF(Q89&gt;$B$55,1,0)</f>
        <v>0</v>
      </c>
      <c r="Y89" s="16">
        <f>IF($B$48&gt;$B$56,1,0)</f>
        <v>0</v>
      </c>
      <c r="Z89" s="16">
        <f>IF(L89&gt;$B$14,1,0)</f>
        <v>0</v>
      </c>
      <c r="AA89" s="16">
        <f>IF(Q89&gt;$B$15,1,0)</f>
        <v>0</v>
      </c>
      <c r="AB89" s="16">
        <f>SUM(R89:AA89)</f>
        <v>1</v>
      </c>
      <c r="AC89" s="16">
        <f>IF(AB89=0,1,0)</f>
        <v>0</v>
      </c>
      <c r="AD89" s="16" t="str">
        <f>IF(AC89=1,SUMPRODUCT(($AC$89:$AC$154=1)*($K$89:$K$154&lt;=K89)*($M$89:$M$154&lt;=M89)*($O$89:$O$154&lt;=O89)*((($K$89:$K$154&lt;K89)+($M$89:$M$154&lt;M89)+($O$89:$O$154&lt;O89))&gt;0)),"")</f>
        <v/>
      </c>
      <c r="AE89" s="16">
        <f>IF(AC89=1,IF(AD89=0,1,0),0)</f>
        <v>0</v>
      </c>
      <c r="AF89" s="10" t="str">
        <f>IF(AC89=1,K89,"")</f>
        <v/>
      </c>
      <c r="AG89" s="10" t="str">
        <f>IF(AC89=1,M89,"")</f>
        <v/>
      </c>
      <c r="AH89" s="10" t="str">
        <f>IF(AC89=1,O89,"")</f>
        <v/>
      </c>
      <c r="AI89" s="19">
        <f>IF($C$83=$B$83,0,ROUND((K89-$B$83)/($C$83-$B$83),4))</f>
        <v>-0.7472</v>
      </c>
      <c r="AJ89" s="19">
        <f>IF($C$84=$B$84,0,ROUND((M89-$B$84)/($C$84-$B$84),4))</f>
        <v>-0.7472</v>
      </c>
      <c r="AK89" s="19">
        <f>IF($C$85=$B$85,0,ROUND((O89-$B$85)/($C$85-$B$85),4))</f>
        <v>1.6436</v>
      </c>
      <c r="AL89" s="20">
        <f>ROUND(($B$22*AI89+$B$23*AJ89+$B$24*AK89)/($B$22+$B$23+$B$24),9)</f>
        <v>-0.02996</v>
      </c>
      <c r="AM89" s="16" t="str">
        <f>IF(AC89=1,1+COUNTIFS($AC$89:$AC$154,1,$AL$89:$AL$154,"&lt;"&amp;AL89)+COUNTIFS($AC$88:AC88,1,$AL$88:AL88,AL89),"")</f>
        <v/>
      </c>
    </row>
    <row r="90">
      <c r="A90" t="inlineStr">
        <is>
          <t>g0-10-90</t>
        </is>
      </c>
      <c r="B90" t="n">
        <v>0</v>
      </c>
      <c r="C90" t="n">
        <v>10</v>
      </c>
      <c r="D90" t="n">
        <v>90</v>
      </c>
      <c r="E90" s="10">
        <f>ROUND($B$47*B90/100,2)</f>
        <v>0</v>
      </c>
      <c r="F90" s="10">
        <f>ROUND($B$47*C90/100,2)</f>
        <v>162000</v>
      </c>
      <c r="G90" s="10">
        <f>ROUND($B$47*D90/100,2)</f>
        <v>1458000</v>
      </c>
      <c r="H90" s="10">
        <f>IF(E90&gt;0,ROUND(-PMT($B$52/1200,$B$39,E90),2),0)</f>
        <v>0</v>
      </c>
      <c r="I90" s="10">
        <f>IF(F90&gt;0,ROUND(-PMT($B$53/1200,$B$39,F90),2),0)</f>
        <v>830.48</v>
      </c>
      <c r="J90" s="10">
        <f>IF(G90&gt;0,ROUND(-PMT($B$54/1200,$B$39,G90),2),0)</f>
        <v>7045.03</v>
      </c>
      <c r="K90" s="10">
        <f>H90+I90+J90</f>
        <v>7875.51</v>
      </c>
      <c r="L90" s="10">
        <f>IF(E90&gt;0,-PMT($B$52/1200,$B$39,E90),0)+IF(F90&gt;0,-PMT($B$53/1200,$B$39,F90),0)+IF(G90&gt;0,-PMT($B$54/1200,$B$39,G90),0)</f>
        <v>7875.51612717413</v>
      </c>
      <c r="M90" s="10">
        <f>L90*$B$39</f>
        <v>2835185.80578269</v>
      </c>
      <c r="N90" s="10">
        <f>IF(E90&gt;0,-PMT($B$52/1200,$B$39,E90),0)+IF(F90&gt;0,-PMT(($B$53+$B$40)/1200,$B$39-12,F90*((1+$B$53/1200)^$B$39-(1+$B$53/1200)^12)/((1+$B$53/1200)^$B$39-1)),0)+IF(G90&gt;0,-PMT(($B$54+$B$41)/1200,$B$39-$B$42,G90*((1+$B$54/1200)^$B$39-(1+$B$54/1200)^$B$42)/((1+$B$54/1200)^$B$39-1)),0)</f>
        <v>9620.6520403629</v>
      </c>
      <c r="O90" s="10">
        <f>N90-K90</f>
        <v>1745.1420403629</v>
      </c>
      <c r="P90" s="15">
        <f>C90+D90</f>
        <v>100</v>
      </c>
      <c r="Q90" s="15">
        <f>IF($B$51&gt;0,L90/$B$51*100,1000000)</f>
        <v>38.8914376650574</v>
      </c>
      <c r="R90" s="16">
        <f>IF(ABS(E90+F90+G90-$B$47)&gt;0.005,1,0)</f>
        <v>0</v>
      </c>
      <c r="S90" s="16">
        <f>IF($B$45&gt;$B$46,1,0)</f>
        <v>0</v>
      </c>
      <c r="T90" s="16">
        <f>IF($B$48&gt;$B$34,1,0)</f>
        <v>0</v>
      </c>
      <c r="U90" s="16">
        <f>IF(Q90&gt;$B$35,1,0)</f>
        <v>0</v>
      </c>
      <c r="V90" s="16">
        <f>IF((F90+G90)*$B$37&gt;$B$47*$B$36,1,0)</f>
        <v>1</v>
      </c>
      <c r="W90" s="16">
        <f>IF($B$39&gt;$B$38,1,0)</f>
        <v>0</v>
      </c>
      <c r="X90" s="16">
        <f>IF(Q90&gt;$B$55,1,0)</f>
        <v>0</v>
      </c>
      <c r="Y90" s="16">
        <f>IF($B$48&gt;$B$56,1,0)</f>
        <v>0</v>
      </c>
      <c r="Z90" s="16">
        <f>IF(L90&gt;$B$14,1,0)</f>
        <v>0</v>
      </c>
      <c r="AA90" s="16">
        <f>IF(Q90&gt;$B$15,1,0)</f>
        <v>0</v>
      </c>
      <c r="AB90" s="16">
        <f>SUM(R90:AA90)</f>
        <v>1</v>
      </c>
      <c r="AC90" s="16">
        <f>IF(AB90=0,1,0)</f>
        <v>0</v>
      </c>
      <c r="AD90" s="16" t="str">
        <f>IF(AC90=1,SUMPRODUCT(($AC$89:$AC$154=1)*($K$89:$K$154&lt;=K90)*($M$89:$M$154&lt;=M90)*($O$89:$O$154&lt;=O90)*((($K$89:$K$154&lt;K90)+($M$89:$M$154&lt;M90)+($O$89:$O$154&lt;O90))&gt;0)),"")</f>
        <v/>
      </c>
      <c r="AE90" s="16">
        <f>IF(AC90=1,IF(AD90=0,1,0),0)</f>
        <v>0</v>
      </c>
      <c r="AF90" s="10" t="str">
        <f>IF(AC90=1,K90,"")</f>
        <v/>
      </c>
      <c r="AG90" s="10" t="str">
        <f>IF(AC90=1,M90,"")</f>
        <v/>
      </c>
      <c r="AH90" s="10" t="str">
        <f>IF(AC90=1,O90,"")</f>
        <v/>
      </c>
      <c r="AI90" s="19">
        <f>IF($C$83=$B$83,0,ROUND((K90-$B$83)/($C$83-$B$83),4))</f>
        <v>-0.434</v>
      </c>
      <c r="AJ90" s="19">
        <f>IF($C$84=$B$84,0,ROUND((M90-$B$84)/($C$84-$B$84),4))</f>
        <v>-0.434</v>
      </c>
      <c r="AK90" s="19">
        <f>IF($C$85=$B$85,0,ROUND((O90-$B$85)/($C$85-$B$85),4))</f>
        <v>1.6725</v>
      </c>
      <c r="AL90" s="20">
        <f>ROUND(($B$22*AI90+$B$23*AJ90+$B$24*AK90)/($B$22+$B$23+$B$24),9)</f>
        <v>0.19795</v>
      </c>
      <c r="AM90" s="16" t="str">
        <f>IF(AC90=1,1+COUNTIFS($AC$89:$AC$154,1,$AL$89:$AL$154,"&lt;"&amp;AL90)+COUNTIFS($AC$88:AC89,1,$AL$88:AL89,AL90),"")</f>
        <v/>
      </c>
    </row>
    <row r="91">
      <c r="A91" t="inlineStr">
        <is>
          <t>g0-20-80</t>
        </is>
      </c>
      <c r="B91" t="n">
        <v>0</v>
      </c>
      <c r="C91" t="n">
        <v>20</v>
      </c>
      <c r="D91" t="n">
        <v>80</v>
      </c>
      <c r="E91" s="10">
        <f>ROUND($B$47*B91/100,2)</f>
        <v>0</v>
      </c>
      <c r="F91" s="10">
        <f>ROUND($B$47*C91/100,2)</f>
        <v>324000</v>
      </c>
      <c r="G91" s="10">
        <f>ROUND($B$47*D91/100,2)</f>
        <v>1296000</v>
      </c>
      <c r="H91" s="10">
        <f>IF(E91&gt;0,ROUND(-PMT($B$52/1200,$B$39,E91),2),0)</f>
        <v>0</v>
      </c>
      <c r="I91" s="10">
        <f>IF(F91&gt;0,ROUND(-PMT($B$53/1200,$B$39,F91),2),0)</f>
        <v>1660.97</v>
      </c>
      <c r="J91" s="10">
        <f>IF(G91&gt;0,ROUND(-PMT($B$54/1200,$B$39,G91),2),0)</f>
        <v>6262.25</v>
      </c>
      <c r="K91" s="10">
        <f>H91+I91+J91</f>
        <v>7923.22</v>
      </c>
      <c r="L91" s="10">
        <f>IF(E91&gt;0,-PMT($B$52/1200,$B$39,E91),0)+IF(F91&gt;0,-PMT($B$53/1200,$B$39,F91),0)+IF(G91&gt;0,-PMT($B$54/1200,$B$39,G91),0)</f>
        <v>7923.21864248796</v>
      </c>
      <c r="M91" s="10">
        <f>L91*$B$39</f>
        <v>2852358.71129567</v>
      </c>
      <c r="N91" s="10">
        <f>IF(E91&gt;0,-PMT($B$52/1200,$B$39,E91),0)+IF(F91&gt;0,-PMT(($B$53+$B$40)/1200,$B$39-12,F91*((1+$B$53/1200)^$B$39-(1+$B$53/1200)^12)/((1+$B$53/1200)^$B$39-1)),0)+IF(G91&gt;0,-PMT(($B$54+$B$41)/1200,$B$39-$B$42,G91*((1+$B$54/1200)^$B$39-(1+$B$54/1200)^$B$42)/((1+$B$54/1200)^$B$39-1)),0)</f>
        <v>9695.60225796906</v>
      </c>
      <c r="O91" s="10">
        <f>N91-K91</f>
        <v>1772.38225796906</v>
      </c>
      <c r="P91" s="15">
        <f>C91+D91</f>
        <v>100</v>
      </c>
      <c r="Q91" s="15">
        <f>IF($B$51&gt;0,L91/$B$51*100,1000000)</f>
        <v>39.1270056419158</v>
      </c>
      <c r="R91" s="16">
        <f>IF(ABS(E91+F91+G91-$B$47)&gt;0.005,1,0)</f>
        <v>0</v>
      </c>
      <c r="S91" s="16">
        <f>IF($B$45&gt;$B$46,1,0)</f>
        <v>0</v>
      </c>
      <c r="T91" s="16">
        <f>IF($B$48&gt;$B$34,1,0)</f>
        <v>0</v>
      </c>
      <c r="U91" s="16">
        <f>IF(Q91&gt;$B$35,1,0)</f>
        <v>0</v>
      </c>
      <c r="V91" s="16">
        <f>IF((F91+G91)*$B$37&gt;$B$47*$B$36,1,0)</f>
        <v>1</v>
      </c>
      <c r="W91" s="16">
        <f>IF($B$39&gt;$B$38,1,0)</f>
        <v>0</v>
      </c>
      <c r="X91" s="16">
        <f>IF(Q91&gt;$B$55,1,0)</f>
        <v>0</v>
      </c>
      <c r="Y91" s="16">
        <f>IF($B$48&gt;$B$56,1,0)</f>
        <v>0</v>
      </c>
      <c r="Z91" s="16">
        <f>IF(L91&gt;$B$14,1,0)</f>
        <v>0</v>
      </c>
      <c r="AA91" s="16">
        <f>IF(Q91&gt;$B$15,1,0)</f>
        <v>0</v>
      </c>
      <c r="AB91" s="16">
        <f>SUM(R91:AA91)</f>
        <v>1</v>
      </c>
      <c r="AC91" s="16">
        <f>IF(AB91=0,1,0)</f>
        <v>0</v>
      </c>
      <c r="AD91" s="16" t="str">
        <f>IF(AC91=1,SUMPRODUCT(($AC$89:$AC$154=1)*($K$89:$K$154&lt;=K91)*($M$89:$M$154&lt;=M91)*($O$89:$O$154&lt;=O91)*((($K$89:$K$154&lt;K91)+($M$89:$M$154&lt;M91)+($O$89:$O$154&lt;O91))&gt;0)),"")</f>
        <v/>
      </c>
      <c r="AE91" s="16">
        <f>IF(AC91=1,IF(AD91=0,1,0),0)</f>
        <v>0</v>
      </c>
      <c r="AF91" s="10" t="str">
        <f>IF(AC91=1,K91,"")</f>
        <v/>
      </c>
      <c r="AG91" s="10" t="str">
        <f>IF(AC91=1,M91,"")</f>
        <v/>
      </c>
      <c r="AH91" s="10" t="str">
        <f>IF(AC91=1,O91,"")</f>
        <v/>
      </c>
      <c r="AI91" s="19">
        <f>IF($C$83=$B$83,0,ROUND((K91-$B$83)/($C$83-$B$83),4))</f>
        <v>-0.1208</v>
      </c>
      <c r="AJ91" s="19">
        <f>IF($C$84=$B$84,0,ROUND((M91-$B$84)/($C$84-$B$84),4))</f>
        <v>-0.1208</v>
      </c>
      <c r="AK91" s="19">
        <f>IF($C$85=$B$85,0,ROUND((O91-$B$85)/($C$85-$B$85),4))</f>
        <v>1.7015</v>
      </c>
      <c r="AL91" s="20">
        <f>ROUND(($B$22*AI91+$B$23*AJ91+$B$24*AK91)/($B$22+$B$23+$B$24),9)</f>
        <v>0.42589</v>
      </c>
      <c r="AM91" s="16" t="str">
        <f>IF(AC91=1,1+COUNTIFS($AC$89:$AC$154,1,$AL$89:$AL$154,"&lt;"&amp;AL91)+COUNTIFS($AC$88:AC90,1,$AL$88:AL90,AL91),"")</f>
        <v/>
      </c>
    </row>
    <row r="92">
      <c r="A92" t="inlineStr">
        <is>
          <t>g0-30-70</t>
        </is>
      </c>
      <c r="B92" t="n">
        <v>0</v>
      </c>
      <c r="C92" t="n">
        <v>30</v>
      </c>
      <c r="D92" t="n">
        <v>70</v>
      </c>
      <c r="E92" s="10">
        <f>ROUND($B$47*B92/100,2)</f>
        <v>0</v>
      </c>
      <c r="F92" s="10">
        <f>ROUND($B$47*C92/100,2)</f>
        <v>486000</v>
      </c>
      <c r="G92" s="10">
        <f>ROUND($B$47*D92/100,2)</f>
        <v>1134000</v>
      </c>
      <c r="H92" s="10">
        <f>IF(E92&gt;0,ROUND(-PMT($B$52/1200,$B$39,E92),2),0)</f>
        <v>0</v>
      </c>
      <c r="I92" s="10">
        <f>IF(F92&gt;0,ROUND(-PMT($B$53/1200,$B$39,F92),2),0)</f>
        <v>2491.45</v>
      </c>
      <c r="J92" s="10">
        <f>IF(G92&gt;0,ROUND(-PMT($B$54/1200,$B$39,G92),2),0)</f>
        <v>5479.47</v>
      </c>
      <c r="K92" s="10">
        <f>H92+I92+J92</f>
        <v>7970.92</v>
      </c>
      <c r="L92" s="10">
        <f>IF(E92&gt;0,-PMT($B$52/1200,$B$39,E92),0)+IF(F92&gt;0,-PMT($B$53/1200,$B$39,F92),0)+IF(G92&gt;0,-PMT($B$54/1200,$B$39,G92),0)</f>
        <v>7970.92115780179</v>
      </c>
      <c r="M92" s="10">
        <f>L92*$B$39</f>
        <v>2869531.61680864</v>
      </c>
      <c r="N92" s="10">
        <f>IF(E92&gt;0,-PMT($B$52/1200,$B$39,E92),0)+IF(F92&gt;0,-PMT(($B$53+$B$40)/1200,$B$39-12,F92*((1+$B$53/1200)^$B$39-(1+$B$53/1200)^12)/((1+$B$53/1200)^$B$39-1)),0)+IF(G92&gt;0,-PMT(($B$54+$B$41)/1200,$B$39-$B$42,G92*((1+$B$54/1200)^$B$39-(1+$B$54/1200)^$B$42)/((1+$B$54/1200)^$B$39-1)),0)</f>
        <v>9770.55247557521</v>
      </c>
      <c r="O92" s="10">
        <f>N92-K92</f>
        <v>1799.63247557521</v>
      </c>
      <c r="P92" s="15">
        <f>C92+D92</f>
        <v>100</v>
      </c>
      <c r="Q92" s="15">
        <f>IF($B$51&gt;0,L92/$B$51*100,1000000)</f>
        <v>39.3625736187743</v>
      </c>
      <c r="R92" s="16">
        <f>IF(ABS(E92+F92+G92-$B$47)&gt;0.005,1,0)</f>
        <v>0</v>
      </c>
      <c r="S92" s="16">
        <f>IF($B$45&gt;$B$46,1,0)</f>
        <v>0</v>
      </c>
      <c r="T92" s="16">
        <f>IF($B$48&gt;$B$34,1,0)</f>
        <v>0</v>
      </c>
      <c r="U92" s="16">
        <f>IF(Q92&gt;$B$35,1,0)</f>
        <v>0</v>
      </c>
      <c r="V92" s="16">
        <f>IF((F92+G92)*$B$37&gt;$B$47*$B$36,1,0)</f>
        <v>1</v>
      </c>
      <c r="W92" s="16">
        <f>IF($B$39&gt;$B$38,1,0)</f>
        <v>0</v>
      </c>
      <c r="X92" s="16">
        <f>IF(Q92&gt;$B$55,1,0)</f>
        <v>0</v>
      </c>
      <c r="Y92" s="16">
        <f>IF($B$48&gt;$B$56,1,0)</f>
        <v>0</v>
      </c>
      <c r="Z92" s="16">
        <f>IF(L92&gt;$B$14,1,0)</f>
        <v>0</v>
      </c>
      <c r="AA92" s="16">
        <f>IF(Q92&gt;$B$15,1,0)</f>
        <v>0</v>
      </c>
      <c r="AB92" s="16">
        <f>SUM(R92:AA92)</f>
        <v>1</v>
      </c>
      <c r="AC92" s="16">
        <f>IF(AB92=0,1,0)</f>
        <v>0</v>
      </c>
      <c r="AD92" s="16" t="str">
        <f>IF(AC92=1,SUMPRODUCT(($AC$89:$AC$154=1)*($K$89:$K$154&lt;=K92)*($M$89:$M$154&lt;=M92)*($O$89:$O$154&lt;=O92)*((($K$89:$K$154&lt;K92)+($M$89:$M$154&lt;M92)+($O$89:$O$154&lt;O92))&gt;0)),"")</f>
        <v/>
      </c>
      <c r="AE92" s="16">
        <f>IF(AC92=1,IF(AD92=0,1,0),0)</f>
        <v>0</v>
      </c>
      <c r="AF92" s="10" t="str">
        <f>IF(AC92=1,K92,"")</f>
        <v/>
      </c>
      <c r="AG92" s="10" t="str">
        <f>IF(AC92=1,M92,"")</f>
        <v/>
      </c>
      <c r="AH92" s="10" t="str">
        <f>IF(AC92=1,O92,"")</f>
        <v/>
      </c>
      <c r="AI92" s="19">
        <f>IF($C$83=$B$83,0,ROUND((K92-$B$83)/($C$83-$B$83),4))</f>
        <v>0.1924</v>
      </c>
      <c r="AJ92" s="19">
        <f>IF($C$84=$B$84,0,ROUND((M92-$B$84)/($C$84-$B$84),4))</f>
        <v>0.1924</v>
      </c>
      <c r="AK92" s="19">
        <f>IF($C$85=$B$85,0,ROUND((O92-$B$85)/($C$85-$B$85),4))</f>
        <v>1.7305</v>
      </c>
      <c r="AL92" s="20">
        <f>ROUND(($B$22*AI92+$B$23*AJ92+$B$24*AK92)/($B$22+$B$23+$B$24),9)</f>
        <v>0.65383</v>
      </c>
      <c r="AM92" s="16" t="str">
        <f>IF(AC92=1,1+COUNTIFS($AC$89:$AC$154,1,$AL$89:$AL$154,"&lt;"&amp;AL92)+COUNTIFS($AC$88:AC91,1,$AL$88:AL91,AL92),"")</f>
        <v/>
      </c>
    </row>
    <row r="93">
      <c r="A93" t="inlineStr">
        <is>
          <t>g0-40-60</t>
        </is>
      </c>
      <c r="B93" t="n">
        <v>0</v>
      </c>
      <c r="C93" t="n">
        <v>40</v>
      </c>
      <c r="D93" t="n">
        <v>60</v>
      </c>
      <c r="E93" s="10">
        <f>ROUND($B$47*B93/100,2)</f>
        <v>0</v>
      </c>
      <c r="F93" s="10">
        <f>ROUND($B$47*C93/100,2)</f>
        <v>648000</v>
      </c>
      <c r="G93" s="10">
        <f>ROUND($B$47*D93/100,2)</f>
        <v>972000</v>
      </c>
      <c r="H93" s="10">
        <f>IF(E93&gt;0,ROUND(-PMT($B$52/1200,$B$39,E93),2),0)</f>
        <v>0</v>
      </c>
      <c r="I93" s="10">
        <f>IF(F93&gt;0,ROUND(-PMT($B$53/1200,$B$39,F93),2),0)</f>
        <v>3321.94</v>
      </c>
      <c r="J93" s="10">
        <f>IF(G93&gt;0,ROUND(-PMT($B$54/1200,$B$39,G93),2),0)</f>
        <v>4696.69</v>
      </c>
      <c r="K93" s="10">
        <f>H93+I93+J93</f>
        <v>8018.63</v>
      </c>
      <c r="L93" s="10">
        <f>IF(E93&gt;0,-PMT($B$52/1200,$B$39,E93),0)+IF(F93&gt;0,-PMT($B$53/1200,$B$39,F93),0)+IF(G93&gt;0,-PMT($B$54/1200,$B$39,G93),0)</f>
        <v>8018.62367311562</v>
      </c>
      <c r="M93" s="10">
        <f>L93*$B$39</f>
        <v>2886704.52232162</v>
      </c>
      <c r="N93" s="10">
        <f>IF(E93&gt;0,-PMT($B$52/1200,$B$39,E93),0)+IF(F93&gt;0,-PMT(($B$53+$B$40)/1200,$B$39-12,F93*((1+$B$53/1200)^$B$39-(1+$B$53/1200)^12)/((1+$B$53/1200)^$B$39-1)),0)+IF(G93&gt;0,-PMT(($B$54+$B$41)/1200,$B$39-$B$42,G93*((1+$B$54/1200)^$B$39-(1+$B$54/1200)^$B$42)/((1+$B$54/1200)^$B$39-1)),0)</f>
        <v>9845.50269318137</v>
      </c>
      <c r="O93" s="10">
        <f>N93-K93</f>
        <v>1826.87269318137</v>
      </c>
      <c r="P93" s="15">
        <f>C93+D93</f>
        <v>100</v>
      </c>
      <c r="Q93" s="15">
        <f>IF($B$51&gt;0,L93/$B$51*100,1000000)</f>
        <v>39.5981415956327</v>
      </c>
      <c r="R93" s="16">
        <f>IF(ABS(E93+F93+G93-$B$47)&gt;0.005,1,0)</f>
        <v>0</v>
      </c>
      <c r="S93" s="16">
        <f>IF($B$45&gt;$B$46,1,0)</f>
        <v>0</v>
      </c>
      <c r="T93" s="16">
        <f>IF($B$48&gt;$B$34,1,0)</f>
        <v>0</v>
      </c>
      <c r="U93" s="16">
        <f>IF(Q93&gt;$B$35,1,0)</f>
        <v>0</v>
      </c>
      <c r="V93" s="16">
        <f>IF((F93+G93)*$B$37&gt;$B$47*$B$36,1,0)</f>
        <v>1</v>
      </c>
      <c r="W93" s="16">
        <f>IF($B$39&gt;$B$38,1,0)</f>
        <v>0</v>
      </c>
      <c r="X93" s="16">
        <f>IF(Q93&gt;$B$55,1,0)</f>
        <v>0</v>
      </c>
      <c r="Y93" s="16">
        <f>IF($B$48&gt;$B$56,1,0)</f>
        <v>0</v>
      </c>
      <c r="Z93" s="16">
        <f>IF(L93&gt;$B$14,1,0)</f>
        <v>0</v>
      </c>
      <c r="AA93" s="16">
        <f>IF(Q93&gt;$B$15,1,0)</f>
        <v>0</v>
      </c>
      <c r="AB93" s="16">
        <f>SUM(R93:AA93)</f>
        <v>1</v>
      </c>
      <c r="AC93" s="16">
        <f>IF(AB93=0,1,0)</f>
        <v>0</v>
      </c>
      <c r="AD93" s="16" t="str">
        <f>IF(AC93=1,SUMPRODUCT(($AC$89:$AC$154=1)*($K$89:$K$154&lt;=K93)*($M$89:$M$154&lt;=M93)*($O$89:$O$154&lt;=O93)*((($K$89:$K$154&lt;K93)+($M$89:$M$154&lt;M93)+($O$89:$O$154&lt;O93))&gt;0)),"")</f>
        <v/>
      </c>
      <c r="AE93" s="16">
        <f>IF(AC93=1,IF(AD93=0,1,0),0)</f>
        <v>0</v>
      </c>
      <c r="AF93" s="10" t="str">
        <f>IF(AC93=1,K93,"")</f>
        <v/>
      </c>
      <c r="AG93" s="10" t="str">
        <f>IF(AC93=1,M93,"")</f>
        <v/>
      </c>
      <c r="AH93" s="10" t="str">
        <f>IF(AC93=1,O93,"")</f>
        <v/>
      </c>
      <c r="AI93" s="19">
        <f>IF($C$83=$B$83,0,ROUND((K93-$B$83)/($C$83-$B$83),4))</f>
        <v>0.5056</v>
      </c>
      <c r="AJ93" s="19">
        <f>IF($C$84=$B$84,0,ROUND((M93-$B$84)/($C$84-$B$84),4))</f>
        <v>0.5056</v>
      </c>
      <c r="AK93" s="19">
        <f>IF($C$85=$B$85,0,ROUND((O93-$B$85)/($C$85-$B$85),4))</f>
        <v>1.7594</v>
      </c>
      <c r="AL93" s="20">
        <f>ROUND(($B$22*AI93+$B$23*AJ93+$B$24*AK93)/($B$22+$B$23+$B$24),9)</f>
        <v>0.88174</v>
      </c>
      <c r="AM93" s="16" t="str">
        <f>IF(AC93=1,1+COUNTIFS($AC$89:$AC$154,1,$AL$89:$AL$154,"&lt;"&amp;AL93)+COUNTIFS($AC$88:AC92,1,$AL$88:AL92,AL93),"")</f>
        <v/>
      </c>
    </row>
    <row r="94">
      <c r="A94" t="inlineStr">
        <is>
          <t>g0-50-50</t>
        </is>
      </c>
      <c r="B94" t="n">
        <v>0</v>
      </c>
      <c r="C94" t="n">
        <v>50</v>
      </c>
      <c r="D94" t="n">
        <v>50</v>
      </c>
      <c r="E94" s="10">
        <f>ROUND($B$47*B94/100,2)</f>
        <v>0</v>
      </c>
      <c r="F94" s="10">
        <f>ROUND($B$47*C94/100,2)</f>
        <v>810000</v>
      </c>
      <c r="G94" s="10">
        <f>ROUND($B$47*D94/100,2)</f>
        <v>810000</v>
      </c>
      <c r="H94" s="10">
        <f>IF(E94&gt;0,ROUND(-PMT($B$52/1200,$B$39,E94),2),0)</f>
        <v>0</v>
      </c>
      <c r="I94" s="10">
        <f>IF(F94&gt;0,ROUND(-PMT($B$53/1200,$B$39,F94),2),0)</f>
        <v>4152.42</v>
      </c>
      <c r="J94" s="10">
        <f>IF(G94&gt;0,ROUND(-PMT($B$54/1200,$B$39,G94),2),0)</f>
        <v>3913.91</v>
      </c>
      <c r="K94" s="10">
        <f>H94+I94+J94</f>
        <v>8066.33</v>
      </c>
      <c r="L94" s="10">
        <f>IF(E94&gt;0,-PMT($B$52/1200,$B$39,E94),0)+IF(F94&gt;0,-PMT($B$53/1200,$B$39,F94),0)+IF(G94&gt;0,-PMT($B$54/1200,$B$39,G94),0)</f>
        <v>8066.32618842945</v>
      </c>
      <c r="M94" s="10">
        <f>L94*$B$39</f>
        <v>2903877.4278346</v>
      </c>
      <c r="N94" s="10">
        <f>IF(E94&gt;0,-PMT($B$52/1200,$B$39,E94),0)+IF(F94&gt;0,-PMT(($B$53+$B$40)/1200,$B$39-12,F94*((1+$B$53/1200)^$B$39-(1+$B$53/1200)^12)/((1+$B$53/1200)^$B$39-1)),0)+IF(G94&gt;0,-PMT(($B$54+$B$41)/1200,$B$39-$B$42,G94*((1+$B$54/1200)^$B$39-(1+$B$54/1200)^$B$42)/((1+$B$54/1200)^$B$39-1)),0)</f>
        <v>9920.45291078752</v>
      </c>
      <c r="O94" s="10">
        <f>N94-K94</f>
        <v>1854.12291078752</v>
      </c>
      <c r="P94" s="15">
        <f>C94+D94</f>
        <v>100</v>
      </c>
      <c r="Q94" s="15">
        <f>IF($B$51&gt;0,L94/$B$51*100,1000000)</f>
        <v>39.8337095724911</v>
      </c>
      <c r="R94" s="16">
        <f>IF(ABS(E94+F94+G94-$B$47)&gt;0.005,1,0)</f>
        <v>0</v>
      </c>
      <c r="S94" s="16">
        <f>IF($B$45&gt;$B$46,1,0)</f>
        <v>0</v>
      </c>
      <c r="T94" s="16">
        <f>IF($B$48&gt;$B$34,1,0)</f>
        <v>0</v>
      </c>
      <c r="U94" s="16">
        <f>IF(Q94&gt;$B$35,1,0)</f>
        <v>0</v>
      </c>
      <c r="V94" s="16">
        <f>IF((F94+G94)*$B$37&gt;$B$47*$B$36,1,0)</f>
        <v>1</v>
      </c>
      <c r="W94" s="16">
        <f>IF($B$39&gt;$B$38,1,0)</f>
        <v>0</v>
      </c>
      <c r="X94" s="16">
        <f>IF(Q94&gt;$B$55,1,0)</f>
        <v>0</v>
      </c>
      <c r="Y94" s="16">
        <f>IF($B$48&gt;$B$56,1,0)</f>
        <v>0</v>
      </c>
      <c r="Z94" s="16">
        <f>IF(L94&gt;$B$14,1,0)</f>
        <v>0</v>
      </c>
      <c r="AA94" s="16">
        <f>IF(Q94&gt;$B$15,1,0)</f>
        <v>0</v>
      </c>
      <c r="AB94" s="16">
        <f>SUM(R94:AA94)</f>
        <v>1</v>
      </c>
      <c r="AC94" s="16">
        <f>IF(AB94=0,1,0)</f>
        <v>0</v>
      </c>
      <c r="AD94" s="16" t="str">
        <f>IF(AC94=1,SUMPRODUCT(($AC$89:$AC$154=1)*($K$89:$K$154&lt;=K94)*($M$89:$M$154&lt;=M94)*($O$89:$O$154&lt;=O94)*((($K$89:$K$154&lt;K94)+($M$89:$M$154&lt;M94)+($O$89:$O$154&lt;O94))&gt;0)),"")</f>
        <v/>
      </c>
      <c r="AE94" s="16">
        <f>IF(AC94=1,IF(AD94=0,1,0),0)</f>
        <v>0</v>
      </c>
      <c r="AF94" s="10" t="str">
        <f>IF(AC94=1,K94,"")</f>
        <v/>
      </c>
      <c r="AG94" s="10" t="str">
        <f>IF(AC94=1,M94,"")</f>
        <v/>
      </c>
      <c r="AH94" s="10" t="str">
        <f>IF(AC94=1,O94,"")</f>
        <v/>
      </c>
      <c r="AI94" s="19">
        <f>IF($C$83=$B$83,0,ROUND((K94-$B$83)/($C$83-$B$83),4))</f>
        <v>0.8188</v>
      </c>
      <c r="AJ94" s="19">
        <f>IF($C$84=$B$84,0,ROUND((M94-$B$84)/($C$84-$B$84),4))</f>
        <v>0.8188</v>
      </c>
      <c r="AK94" s="19">
        <f>IF($C$85=$B$85,0,ROUND((O94-$B$85)/($C$85-$B$85),4))</f>
        <v>1.7884</v>
      </c>
      <c r="AL94" s="20">
        <f>ROUND(($B$22*AI94+$B$23*AJ94+$B$24*AK94)/($B$22+$B$23+$B$24),9)</f>
        <v>1.10968</v>
      </c>
      <c r="AM94" s="16" t="str">
        <f>IF(AC94=1,1+COUNTIFS($AC$89:$AC$154,1,$AL$89:$AL$154,"&lt;"&amp;AL94)+COUNTIFS($AC$88:AC93,1,$AL$88:AL93,AL94),"")</f>
        <v/>
      </c>
    </row>
    <row r="95">
      <c r="A95" t="inlineStr">
        <is>
          <t>g0-60-40</t>
        </is>
      </c>
      <c r="B95" t="n">
        <v>0</v>
      </c>
      <c r="C95" t="n">
        <v>60</v>
      </c>
      <c r="D95" t="n">
        <v>40</v>
      </c>
      <c r="E95" s="10">
        <f>ROUND($B$47*B95/100,2)</f>
        <v>0</v>
      </c>
      <c r="F95" s="10">
        <f>ROUND($B$47*C95/100,2)</f>
        <v>972000</v>
      </c>
      <c r="G95" s="10">
        <f>ROUND($B$47*D95/100,2)</f>
        <v>648000</v>
      </c>
      <c r="H95" s="10">
        <f>IF(E95&gt;0,ROUND(-PMT($B$52/1200,$B$39,E95),2),0)</f>
        <v>0</v>
      </c>
      <c r="I95" s="10">
        <f>IF(F95&gt;0,ROUND(-PMT($B$53/1200,$B$39,F95),2),0)</f>
        <v>4982.9</v>
      </c>
      <c r="J95" s="10">
        <f>IF(G95&gt;0,ROUND(-PMT($B$54/1200,$B$39,G95),2),0)</f>
        <v>3131.13</v>
      </c>
      <c r="K95" s="10">
        <f>H95+I95+J95</f>
        <v>8114.03</v>
      </c>
      <c r="L95" s="10">
        <f>IF(E95&gt;0,-PMT($B$52/1200,$B$39,E95),0)+IF(F95&gt;0,-PMT($B$53/1200,$B$39,F95),0)+IF(G95&gt;0,-PMT($B$54/1200,$B$39,G95),0)</f>
        <v>8114.02870374328</v>
      </c>
      <c r="M95" s="10">
        <f>L95*$B$39</f>
        <v>2921050.33334758</v>
      </c>
      <c r="N95" s="10">
        <f>IF(E95&gt;0,-PMT($B$52/1200,$B$39,E95),0)+IF(F95&gt;0,-PMT(($B$53+$B$40)/1200,$B$39-12,F95*((1+$B$53/1200)^$B$39-(1+$B$53/1200)^12)/((1+$B$53/1200)^$B$39-1)),0)+IF(G95&gt;0,-PMT(($B$54+$B$41)/1200,$B$39-$B$42,G95*((1+$B$54/1200)^$B$39-(1+$B$54/1200)^$B$42)/((1+$B$54/1200)^$B$39-1)),0)</f>
        <v>9995.40312839368</v>
      </c>
      <c r="O95" s="10">
        <f>N95-K95</f>
        <v>1881.37312839368</v>
      </c>
      <c r="P95" s="15">
        <f>C95+D95</f>
        <v>100</v>
      </c>
      <c r="Q95" s="15">
        <f>IF($B$51&gt;0,L95/$B$51*100,1000000)</f>
        <v>40.0692775493495</v>
      </c>
      <c r="R95" s="16">
        <f>IF(ABS(E95+F95+G95-$B$47)&gt;0.005,1,0)</f>
        <v>0</v>
      </c>
      <c r="S95" s="16">
        <f>IF($B$45&gt;$B$46,1,0)</f>
        <v>0</v>
      </c>
      <c r="T95" s="16">
        <f>IF($B$48&gt;$B$34,1,0)</f>
        <v>0</v>
      </c>
      <c r="U95" s="16">
        <f>IF(Q95&gt;$B$35,1,0)</f>
        <v>0</v>
      </c>
      <c r="V95" s="16">
        <f>IF((F95+G95)*$B$37&gt;$B$47*$B$36,1,0)</f>
        <v>1</v>
      </c>
      <c r="W95" s="16">
        <f>IF($B$39&gt;$B$38,1,0)</f>
        <v>0</v>
      </c>
      <c r="X95" s="16">
        <f>IF(Q95&gt;$B$55,1,0)</f>
        <v>0</v>
      </c>
      <c r="Y95" s="16">
        <f>IF($B$48&gt;$B$56,1,0)</f>
        <v>0</v>
      </c>
      <c r="Z95" s="16">
        <f>IF(L95&gt;$B$14,1,0)</f>
        <v>0</v>
      </c>
      <c r="AA95" s="16">
        <f>IF(Q95&gt;$B$15,1,0)</f>
        <v>1</v>
      </c>
      <c r="AB95" s="16">
        <f>SUM(R95:AA95)</f>
        <v>2</v>
      </c>
      <c r="AC95" s="16">
        <f>IF(AB95=0,1,0)</f>
        <v>0</v>
      </c>
      <c r="AD95" s="16" t="str">
        <f>IF(AC95=1,SUMPRODUCT(($AC$89:$AC$154=1)*($K$89:$K$154&lt;=K95)*($M$89:$M$154&lt;=M95)*($O$89:$O$154&lt;=O95)*((($K$89:$K$154&lt;K95)+($M$89:$M$154&lt;M95)+($O$89:$O$154&lt;O95))&gt;0)),"")</f>
        <v/>
      </c>
      <c r="AE95" s="16">
        <f>IF(AC95=1,IF(AD95=0,1,0),0)</f>
        <v>0</v>
      </c>
      <c r="AF95" s="10" t="str">
        <f>IF(AC95=1,K95,"")</f>
        <v/>
      </c>
      <c r="AG95" s="10" t="str">
        <f>IF(AC95=1,M95,"")</f>
        <v/>
      </c>
      <c r="AH95" s="10" t="str">
        <f>IF(AC95=1,O95,"")</f>
        <v/>
      </c>
      <c r="AI95" s="19">
        <f>IF($C$83=$B$83,0,ROUND((K95-$B$83)/($C$83-$B$83),4))</f>
        <v>1.132</v>
      </c>
      <c r="AJ95" s="19">
        <f>IF($C$84=$B$84,0,ROUND((M95-$B$84)/($C$84-$B$84),4))</f>
        <v>1.132</v>
      </c>
      <c r="AK95" s="19">
        <f>IF($C$85=$B$85,0,ROUND((O95-$B$85)/($C$85-$B$85),4))</f>
        <v>1.8174</v>
      </c>
      <c r="AL95" s="20">
        <f>ROUND(($B$22*AI95+$B$23*AJ95+$B$24*AK95)/($B$22+$B$23+$B$24),9)</f>
        <v>1.33762</v>
      </c>
      <c r="AM95" s="16" t="str">
        <f>IF(AC95=1,1+COUNTIFS($AC$89:$AC$154,1,$AL$89:$AL$154,"&lt;"&amp;AL95)+COUNTIFS($AC$88:AC94,1,$AL$88:AL94,AL95),"")</f>
        <v/>
      </c>
    </row>
    <row r="96">
      <c r="A96" t="inlineStr">
        <is>
          <t>g0-70-30</t>
        </is>
      </c>
      <c r="B96" t="n">
        <v>0</v>
      </c>
      <c r="C96" t="n">
        <v>70</v>
      </c>
      <c r="D96" t="n">
        <v>30</v>
      </c>
      <c r="E96" s="10">
        <f>ROUND($B$47*B96/100,2)</f>
        <v>0</v>
      </c>
      <c r="F96" s="10">
        <f>ROUND($B$47*C96/100,2)</f>
        <v>1134000</v>
      </c>
      <c r="G96" s="10">
        <f>ROUND($B$47*D96/100,2)</f>
        <v>486000</v>
      </c>
      <c r="H96" s="10">
        <f>IF(E96&gt;0,ROUND(-PMT($B$52/1200,$B$39,E96),2),0)</f>
        <v>0</v>
      </c>
      <c r="I96" s="10">
        <f>IF(F96&gt;0,ROUND(-PMT($B$53/1200,$B$39,F96),2),0)</f>
        <v>5813.39</v>
      </c>
      <c r="J96" s="10">
        <f>IF(G96&gt;0,ROUND(-PMT($B$54/1200,$B$39,G96),2),0)</f>
        <v>2348.34</v>
      </c>
      <c r="K96" s="10">
        <f>H96+I96+J96</f>
        <v>8161.73</v>
      </c>
      <c r="L96" s="10">
        <f>IF(E96&gt;0,-PMT($B$52/1200,$B$39,E96),0)+IF(F96&gt;0,-PMT($B$53/1200,$B$39,F96),0)+IF(G96&gt;0,-PMT($B$54/1200,$B$39,G96),0)</f>
        <v>8161.73121905711</v>
      </c>
      <c r="M96" s="10">
        <f>L96*$B$39</f>
        <v>2938223.23886056</v>
      </c>
      <c r="N96" s="10">
        <f>IF(E96&gt;0,-PMT($B$52/1200,$B$39,E96),0)+IF(F96&gt;0,-PMT(($B$53+$B$40)/1200,$B$39-12,F96*((1+$B$53/1200)^$B$39-(1+$B$53/1200)^12)/((1+$B$53/1200)^$B$39-1)),0)+IF(G96&gt;0,-PMT(($B$54+$B$41)/1200,$B$39-$B$42,G96*((1+$B$54/1200)^$B$39-(1+$B$54/1200)^$B$42)/((1+$B$54/1200)^$B$39-1)),0)</f>
        <v>10070.3533459998</v>
      </c>
      <c r="O96" s="10">
        <f>N96-K96</f>
        <v>1908.62334599983</v>
      </c>
      <c r="P96" s="15">
        <f>C96+D96</f>
        <v>100</v>
      </c>
      <c r="Q96" s="15">
        <f>IF($B$51&gt;0,L96/$B$51*100,1000000)</f>
        <v>40.3048455262079</v>
      </c>
      <c r="R96" s="16">
        <f>IF(ABS(E96+F96+G96-$B$47)&gt;0.005,1,0)</f>
        <v>0</v>
      </c>
      <c r="S96" s="16">
        <f>IF($B$45&gt;$B$46,1,0)</f>
        <v>0</v>
      </c>
      <c r="T96" s="16">
        <f>IF($B$48&gt;$B$34,1,0)</f>
        <v>0</v>
      </c>
      <c r="U96" s="16">
        <f>IF(Q96&gt;$B$35,1,0)</f>
        <v>0</v>
      </c>
      <c r="V96" s="16">
        <f>IF((F96+G96)*$B$37&gt;$B$47*$B$36,1,0)</f>
        <v>1</v>
      </c>
      <c r="W96" s="16">
        <f>IF($B$39&gt;$B$38,1,0)</f>
        <v>0</v>
      </c>
      <c r="X96" s="16">
        <f>IF(Q96&gt;$B$55,1,0)</f>
        <v>0</v>
      </c>
      <c r="Y96" s="16">
        <f>IF($B$48&gt;$B$56,1,0)</f>
        <v>0</v>
      </c>
      <c r="Z96" s="16">
        <f>IF(L96&gt;$B$14,1,0)</f>
        <v>0</v>
      </c>
      <c r="AA96" s="16">
        <f>IF(Q96&gt;$B$15,1,0)</f>
        <v>1</v>
      </c>
      <c r="AB96" s="16">
        <f>SUM(R96:AA96)</f>
        <v>2</v>
      </c>
      <c r="AC96" s="16">
        <f>IF(AB96=0,1,0)</f>
        <v>0</v>
      </c>
      <c r="AD96" s="16" t="str">
        <f>IF(AC96=1,SUMPRODUCT(($AC$89:$AC$154=1)*($K$89:$K$154&lt;=K96)*($M$89:$M$154&lt;=M96)*($O$89:$O$154&lt;=O96)*((($K$89:$K$154&lt;K96)+($M$89:$M$154&lt;M96)+($O$89:$O$154&lt;O96))&gt;0)),"")</f>
        <v/>
      </c>
      <c r="AE96" s="16">
        <f>IF(AC96=1,IF(AD96=0,1,0),0)</f>
        <v>0</v>
      </c>
      <c r="AF96" s="10" t="str">
        <f>IF(AC96=1,K96,"")</f>
        <v/>
      </c>
      <c r="AG96" s="10" t="str">
        <f>IF(AC96=1,M96,"")</f>
        <v/>
      </c>
      <c r="AH96" s="10" t="str">
        <f>IF(AC96=1,O96,"")</f>
        <v/>
      </c>
      <c r="AI96" s="19">
        <f>IF($C$83=$B$83,0,ROUND((K96-$B$83)/($C$83-$B$83),4))</f>
        <v>1.4451</v>
      </c>
      <c r="AJ96" s="19">
        <f>IF($C$84=$B$84,0,ROUND((M96-$B$84)/($C$84-$B$84),4))</f>
        <v>1.4452</v>
      </c>
      <c r="AK96" s="19">
        <f>IF($C$85=$B$85,0,ROUND((O96-$B$85)/($C$85-$B$85),4))</f>
        <v>1.8463</v>
      </c>
      <c r="AL96" s="20">
        <f>ROUND(($B$22*AI96+$B$23*AJ96+$B$24*AK96)/($B$22+$B$23+$B$24),9)</f>
        <v>1.56549</v>
      </c>
      <c r="AM96" s="16" t="str">
        <f>IF(AC96=1,1+COUNTIFS($AC$89:$AC$154,1,$AL$89:$AL$154,"&lt;"&amp;AL96)+COUNTIFS($AC$88:AC95,1,$AL$88:AL95,AL96),"")</f>
        <v/>
      </c>
    </row>
    <row r="97">
      <c r="A97" t="inlineStr">
        <is>
          <t>g0-80-20</t>
        </is>
      </c>
      <c r="B97" t="n">
        <v>0</v>
      </c>
      <c r="C97" t="n">
        <v>80</v>
      </c>
      <c r="D97" t="n">
        <v>20</v>
      </c>
      <c r="E97" s="10">
        <f>ROUND($B$47*B97/100,2)</f>
        <v>0</v>
      </c>
      <c r="F97" s="10">
        <f>ROUND($B$47*C97/100,2)</f>
        <v>1296000</v>
      </c>
      <c r="G97" s="10">
        <f>ROUND($B$47*D97/100,2)</f>
        <v>324000</v>
      </c>
      <c r="H97" s="10">
        <f>IF(E97&gt;0,ROUND(-PMT($B$52/1200,$B$39,E97),2),0)</f>
        <v>0</v>
      </c>
      <c r="I97" s="10">
        <f>IF(F97&gt;0,ROUND(-PMT($B$53/1200,$B$39,F97),2),0)</f>
        <v>6643.87</v>
      </c>
      <c r="J97" s="10">
        <f>IF(G97&gt;0,ROUND(-PMT($B$54/1200,$B$39,G97),2),0)</f>
        <v>1565.56</v>
      </c>
      <c r="K97" s="10">
        <f>H97+I97+J97</f>
        <v>8209.43</v>
      </c>
      <c r="L97" s="10">
        <f>IF(E97&gt;0,-PMT($B$52/1200,$B$39,E97),0)+IF(F97&gt;0,-PMT($B$53/1200,$B$39,F97),0)+IF(G97&gt;0,-PMT($B$54/1200,$B$39,G97),0)</f>
        <v>8209.43373437093</v>
      </c>
      <c r="M97" s="10">
        <f>L97*$B$39</f>
        <v>2955396.14437354</v>
      </c>
      <c r="N97" s="10">
        <f>IF(E97&gt;0,-PMT($B$52/1200,$B$39,E97),0)+IF(F97&gt;0,-PMT(($B$53+$B$40)/1200,$B$39-12,F97*((1+$B$53/1200)^$B$39-(1+$B$53/1200)^12)/((1+$B$53/1200)^$B$39-1)),0)+IF(G97&gt;0,-PMT(($B$54+$B$41)/1200,$B$39-$B$42,G97*((1+$B$54/1200)^$B$39-(1+$B$54/1200)^$B$42)/((1+$B$54/1200)^$B$39-1)),0)</f>
        <v>10145.303563606</v>
      </c>
      <c r="O97" s="10">
        <f>N97-K97</f>
        <v>1935.87356360599</v>
      </c>
      <c r="P97" s="15">
        <f>C97+D97</f>
        <v>100</v>
      </c>
      <c r="Q97" s="15">
        <f>IF($B$51&gt;0,L97/$B$51*100,1000000)</f>
        <v>40.5404135030663</v>
      </c>
      <c r="R97" s="16">
        <f>IF(ABS(E97+F97+G97-$B$47)&gt;0.005,1,0)</f>
        <v>0</v>
      </c>
      <c r="S97" s="16">
        <f>IF($B$45&gt;$B$46,1,0)</f>
        <v>0</v>
      </c>
      <c r="T97" s="16">
        <f>IF($B$48&gt;$B$34,1,0)</f>
        <v>0</v>
      </c>
      <c r="U97" s="16">
        <f>IF(Q97&gt;$B$35,1,0)</f>
        <v>0</v>
      </c>
      <c r="V97" s="16">
        <f>IF((F97+G97)*$B$37&gt;$B$47*$B$36,1,0)</f>
        <v>1</v>
      </c>
      <c r="W97" s="16">
        <f>IF($B$39&gt;$B$38,1,0)</f>
        <v>0</v>
      </c>
      <c r="X97" s="16">
        <f>IF(Q97&gt;$B$55,1,0)</f>
        <v>0</v>
      </c>
      <c r="Y97" s="16">
        <f>IF($B$48&gt;$B$56,1,0)</f>
        <v>0</v>
      </c>
      <c r="Z97" s="16">
        <f>IF(L97&gt;$B$14,1,0)</f>
        <v>0</v>
      </c>
      <c r="AA97" s="16">
        <f>IF(Q97&gt;$B$15,1,0)</f>
        <v>1</v>
      </c>
      <c r="AB97" s="16">
        <f>SUM(R97:AA97)</f>
        <v>2</v>
      </c>
      <c r="AC97" s="16">
        <f>IF(AB97=0,1,0)</f>
        <v>0</v>
      </c>
      <c r="AD97" s="16" t="str">
        <f>IF(AC97=1,SUMPRODUCT(($AC$89:$AC$154=1)*($K$89:$K$154&lt;=K97)*($M$89:$M$154&lt;=M97)*($O$89:$O$154&lt;=O97)*((($K$89:$K$154&lt;K97)+($M$89:$M$154&lt;M97)+($O$89:$O$154&lt;O97))&gt;0)),"")</f>
        <v/>
      </c>
      <c r="AE97" s="16">
        <f>IF(AC97=1,IF(AD97=0,1,0),0)</f>
        <v>0</v>
      </c>
      <c r="AF97" s="10" t="str">
        <f>IF(AC97=1,K97,"")</f>
        <v/>
      </c>
      <c r="AG97" s="10" t="str">
        <f>IF(AC97=1,M97,"")</f>
        <v/>
      </c>
      <c r="AH97" s="10" t="str">
        <f>IF(AC97=1,O97,"")</f>
        <v/>
      </c>
      <c r="AI97" s="19">
        <f>IF($C$83=$B$83,0,ROUND((K97-$B$83)/($C$83-$B$83),4))</f>
        <v>1.7583</v>
      </c>
      <c r="AJ97" s="19">
        <f>IF($C$84=$B$84,0,ROUND((M97-$B$84)/($C$84-$B$84),4))</f>
        <v>1.7584</v>
      </c>
      <c r="AK97" s="19">
        <f>IF($C$85=$B$85,0,ROUND((O97-$B$85)/($C$85-$B$85),4))</f>
        <v>1.8753</v>
      </c>
      <c r="AL97" s="20">
        <f>ROUND(($B$22*AI97+$B$23*AJ97+$B$24*AK97)/($B$22+$B$23+$B$24),9)</f>
        <v>1.79343</v>
      </c>
      <c r="AM97" s="16" t="str">
        <f>IF(AC97=1,1+COUNTIFS($AC$89:$AC$154,1,$AL$89:$AL$154,"&lt;"&amp;AL97)+COUNTIFS($AC$88:AC96,1,$AL$88:AL96,AL97),"")</f>
        <v/>
      </c>
    </row>
    <row r="98">
      <c r="A98" t="inlineStr">
        <is>
          <t>g0-90-10</t>
        </is>
      </c>
      <c r="B98" t="n">
        <v>0</v>
      </c>
      <c r="C98" t="n">
        <v>90</v>
      </c>
      <c r="D98" t="n">
        <v>10</v>
      </c>
      <c r="E98" s="10">
        <f>ROUND($B$47*B98/100,2)</f>
        <v>0</v>
      </c>
      <c r="F98" s="10">
        <f>ROUND($B$47*C98/100,2)</f>
        <v>1458000</v>
      </c>
      <c r="G98" s="10">
        <f>ROUND($B$47*D98/100,2)</f>
        <v>162000</v>
      </c>
      <c r="H98" s="10">
        <f>IF(E98&gt;0,ROUND(-PMT($B$52/1200,$B$39,E98),2),0)</f>
        <v>0</v>
      </c>
      <c r="I98" s="10">
        <f>IF(F98&gt;0,ROUND(-PMT($B$53/1200,$B$39,F98),2),0)</f>
        <v>7474.35</v>
      </c>
      <c r="J98" s="10">
        <f>IF(G98&gt;0,ROUND(-PMT($B$54/1200,$B$39,G98),2),0)</f>
        <v>782.78</v>
      </c>
      <c r="K98" s="10">
        <f>H98+I98+J98</f>
        <v>8257.13</v>
      </c>
      <c r="L98" s="10">
        <f>IF(E98&gt;0,-PMT($B$52/1200,$B$39,E98),0)+IF(F98&gt;0,-PMT($B$53/1200,$B$39,F98),0)+IF(G98&gt;0,-PMT($B$54/1200,$B$39,G98),0)</f>
        <v>8257.13624968476</v>
      </c>
      <c r="M98" s="10">
        <f>L98*$B$39</f>
        <v>2972569.04988652</v>
      </c>
      <c r="N98" s="10">
        <f>IF(E98&gt;0,-PMT($B$52/1200,$B$39,E98),0)+IF(F98&gt;0,-PMT(($B$53+$B$40)/1200,$B$39-12,F98*((1+$B$53/1200)^$B$39-(1+$B$53/1200)^12)/((1+$B$53/1200)^$B$39-1)),0)+IF(G98&gt;0,-PMT(($B$54+$B$41)/1200,$B$39-$B$42,G98*((1+$B$54/1200)^$B$39-(1+$B$54/1200)^$B$42)/((1+$B$54/1200)^$B$39-1)),0)</f>
        <v>10220.2537812121</v>
      </c>
      <c r="O98" s="10">
        <f>N98-K98</f>
        <v>1963.12378121214</v>
      </c>
      <c r="P98" s="15">
        <f>C98+D98</f>
        <v>100</v>
      </c>
      <c r="Q98" s="15">
        <f>IF($B$51&gt;0,L98/$B$51*100,1000000)</f>
        <v>40.7759814799248</v>
      </c>
      <c r="R98" s="16">
        <f>IF(ABS(E98+F98+G98-$B$47)&gt;0.005,1,0)</f>
        <v>0</v>
      </c>
      <c r="S98" s="16">
        <f>IF($B$45&gt;$B$46,1,0)</f>
        <v>0</v>
      </c>
      <c r="T98" s="16">
        <f>IF($B$48&gt;$B$34,1,0)</f>
        <v>0</v>
      </c>
      <c r="U98" s="16">
        <f>IF(Q98&gt;$B$35,1,0)</f>
        <v>0</v>
      </c>
      <c r="V98" s="16">
        <f>IF((F98+G98)*$B$37&gt;$B$47*$B$36,1,0)</f>
        <v>1</v>
      </c>
      <c r="W98" s="16">
        <f>IF($B$39&gt;$B$38,1,0)</f>
        <v>0</v>
      </c>
      <c r="X98" s="16">
        <f>IF(Q98&gt;$B$55,1,0)</f>
        <v>0</v>
      </c>
      <c r="Y98" s="16">
        <f>IF($B$48&gt;$B$56,1,0)</f>
        <v>0</v>
      </c>
      <c r="Z98" s="16">
        <f>IF(L98&gt;$B$14,1,0)</f>
        <v>0</v>
      </c>
      <c r="AA98" s="16">
        <f>IF(Q98&gt;$B$15,1,0)</f>
        <v>1</v>
      </c>
      <c r="AB98" s="16">
        <f>SUM(R98:AA98)</f>
        <v>2</v>
      </c>
      <c r="AC98" s="16">
        <f>IF(AB98=0,1,0)</f>
        <v>0</v>
      </c>
      <c r="AD98" s="16" t="str">
        <f>IF(AC98=1,SUMPRODUCT(($AC$89:$AC$154=1)*($K$89:$K$154&lt;=K98)*($M$89:$M$154&lt;=M98)*($O$89:$O$154&lt;=O98)*((($K$89:$K$154&lt;K98)+($M$89:$M$154&lt;M98)+($O$89:$O$154&lt;O98))&gt;0)),"")</f>
        <v/>
      </c>
      <c r="AE98" s="16">
        <f>IF(AC98=1,IF(AD98=0,1,0),0)</f>
        <v>0</v>
      </c>
      <c r="AF98" s="10" t="str">
        <f>IF(AC98=1,K98,"")</f>
        <v/>
      </c>
      <c r="AG98" s="10" t="str">
        <f>IF(AC98=1,M98,"")</f>
        <v/>
      </c>
      <c r="AH98" s="10" t="str">
        <f>IF(AC98=1,O98,"")</f>
        <v/>
      </c>
      <c r="AI98" s="19">
        <f>IF($C$83=$B$83,0,ROUND((K98-$B$83)/($C$83-$B$83),4))</f>
        <v>2.0715</v>
      </c>
      <c r="AJ98" s="19">
        <f>IF($C$84=$B$84,0,ROUND((M98-$B$84)/($C$84-$B$84),4))</f>
        <v>2.0716</v>
      </c>
      <c r="AK98" s="19">
        <f>IF($C$85=$B$85,0,ROUND((O98-$B$85)/($C$85-$B$85),4))</f>
        <v>1.9043</v>
      </c>
      <c r="AL98" s="20">
        <f>ROUND(($B$22*AI98+$B$23*AJ98+$B$24*AK98)/($B$22+$B$23+$B$24),9)</f>
        <v>2.02137</v>
      </c>
      <c r="AM98" s="16" t="str">
        <f>IF(AC98=1,1+COUNTIFS($AC$89:$AC$154,1,$AL$89:$AL$154,"&lt;"&amp;AL98)+COUNTIFS($AC$88:AC97,1,$AL$88:AL97,AL98),"")</f>
        <v/>
      </c>
    </row>
    <row r="99">
      <c r="A99" t="inlineStr">
        <is>
          <t>g0-100-0</t>
        </is>
      </c>
      <c r="B99" t="n">
        <v>0</v>
      </c>
      <c r="C99" t="n">
        <v>100</v>
      </c>
      <c r="D99" t="n">
        <v>0</v>
      </c>
      <c r="E99" s="10">
        <f>ROUND($B$47*B99/100,2)</f>
        <v>0</v>
      </c>
      <c r="F99" s="10">
        <f>ROUND($B$47*C99/100,2)</f>
        <v>1620000</v>
      </c>
      <c r="G99" s="10">
        <f>ROUND($B$47*D99/100,2)</f>
        <v>0</v>
      </c>
      <c r="H99" s="10">
        <f>IF(E99&gt;0,ROUND(-PMT($B$52/1200,$B$39,E99),2),0)</f>
        <v>0</v>
      </c>
      <c r="I99" s="10">
        <f>IF(F99&gt;0,ROUND(-PMT($B$53/1200,$B$39,F99),2),0)</f>
        <v>8304.84</v>
      </c>
      <c r="J99" s="10">
        <f>IF(G99&gt;0,ROUND(-PMT($B$54/1200,$B$39,G99),2),0)</f>
        <v>0</v>
      </c>
      <c r="K99" s="10">
        <f>H99+I99+J99</f>
        <v>8304.84</v>
      </c>
      <c r="L99" s="10">
        <f>IF(E99&gt;0,-PMT($B$52/1200,$B$39,E99),0)+IF(F99&gt;0,-PMT($B$53/1200,$B$39,F99),0)+IF(G99&gt;0,-PMT($B$54/1200,$B$39,G99),0)</f>
        <v>8304.83876499859</v>
      </c>
      <c r="M99" s="10">
        <f>L99*$B$39</f>
        <v>2989741.95539949</v>
      </c>
      <c r="N99" s="10">
        <f>IF(E99&gt;0,-PMT($B$52/1200,$B$39,E99),0)+IF(F99&gt;0,-PMT(($B$53+$B$40)/1200,$B$39-12,F99*((1+$B$53/1200)^$B$39-(1+$B$53/1200)^12)/((1+$B$53/1200)^$B$39-1)),0)+IF(G99&gt;0,-PMT(($B$54+$B$41)/1200,$B$39-$B$42,G99*((1+$B$54/1200)^$B$39-(1+$B$54/1200)^$B$42)/((1+$B$54/1200)^$B$39-1)),0)</f>
        <v>10295.2039988183</v>
      </c>
      <c r="O99" s="10">
        <f>N99-K99</f>
        <v>1990.3639988183</v>
      </c>
      <c r="P99" s="15">
        <f>C99+D99</f>
        <v>100</v>
      </c>
      <c r="Q99" s="15">
        <f>IF($B$51&gt;0,L99/$B$51*100,1000000)</f>
        <v>41.0115494567832</v>
      </c>
      <c r="R99" s="16">
        <f>IF(ABS(E99+F99+G99-$B$47)&gt;0.005,1,0)</f>
        <v>0</v>
      </c>
      <c r="S99" s="16">
        <f>IF($B$45&gt;$B$46,1,0)</f>
        <v>0</v>
      </c>
      <c r="T99" s="16">
        <f>IF($B$48&gt;$B$34,1,0)</f>
        <v>0</v>
      </c>
      <c r="U99" s="16">
        <f>IF(Q99&gt;$B$35,1,0)</f>
        <v>0</v>
      </c>
      <c r="V99" s="16">
        <f>IF((F99+G99)*$B$37&gt;$B$47*$B$36,1,0)</f>
        <v>1</v>
      </c>
      <c r="W99" s="16">
        <f>IF($B$39&gt;$B$38,1,0)</f>
        <v>0</v>
      </c>
      <c r="X99" s="16">
        <f>IF(Q99&gt;$B$55,1,0)</f>
        <v>0</v>
      </c>
      <c r="Y99" s="16">
        <f>IF($B$48&gt;$B$56,1,0)</f>
        <v>0</v>
      </c>
      <c r="Z99" s="16">
        <f>IF(L99&gt;$B$14,1,0)</f>
        <v>1</v>
      </c>
      <c r="AA99" s="16">
        <f>IF(Q99&gt;$B$15,1,0)</f>
        <v>1</v>
      </c>
      <c r="AB99" s="16">
        <f>SUM(R99:AA99)</f>
        <v>3</v>
      </c>
      <c r="AC99" s="16">
        <f>IF(AB99=0,1,0)</f>
        <v>0</v>
      </c>
      <c r="AD99" s="16" t="str">
        <f>IF(AC99=1,SUMPRODUCT(($AC$89:$AC$154=1)*($K$89:$K$154&lt;=K99)*($M$89:$M$154&lt;=M99)*($O$89:$O$154&lt;=O99)*((($K$89:$K$154&lt;K99)+($M$89:$M$154&lt;M99)+($O$89:$O$154&lt;O99))&gt;0)),"")</f>
        <v/>
      </c>
      <c r="AE99" s="16">
        <f>IF(AC99=1,IF(AD99=0,1,0),0)</f>
        <v>0</v>
      </c>
      <c r="AF99" s="10" t="str">
        <f>IF(AC99=1,K99,"")</f>
        <v/>
      </c>
      <c r="AG99" s="10" t="str">
        <f>IF(AC99=1,M99,"")</f>
        <v/>
      </c>
      <c r="AH99" s="10" t="str">
        <f>IF(AC99=1,O99,"")</f>
        <v/>
      </c>
      <c r="AI99" s="19">
        <f>IF($C$83=$B$83,0,ROUND((K99-$B$83)/($C$83-$B$83),4))</f>
        <v>2.3847</v>
      </c>
      <c r="AJ99" s="19">
        <f>IF($C$84=$B$84,0,ROUND((M99-$B$84)/($C$84-$B$84),4))</f>
        <v>2.3848</v>
      </c>
      <c r="AK99" s="19">
        <f>IF($C$85=$B$85,0,ROUND((O99-$B$85)/($C$85-$B$85),4))</f>
        <v>1.9332</v>
      </c>
      <c r="AL99" s="20">
        <f>ROUND(($B$22*AI99+$B$23*AJ99+$B$24*AK99)/($B$22+$B$23+$B$24),9)</f>
        <v>2.24928</v>
      </c>
      <c r="AM99" s="16" t="str">
        <f>IF(AC99=1,1+COUNTIFS($AC$89:$AC$154,1,$AL$89:$AL$154,"&lt;"&amp;AL99)+COUNTIFS($AC$88:AC98,1,$AL$88:AL98,AL99),"")</f>
        <v/>
      </c>
    </row>
    <row r="100">
      <c r="A100" t="inlineStr">
        <is>
          <t>g10-0-90</t>
        </is>
      </c>
      <c r="B100" t="n">
        <v>10</v>
      </c>
      <c r="C100" t="n">
        <v>0</v>
      </c>
      <c r="D100" t="n">
        <v>90</v>
      </c>
      <c r="E100" s="10">
        <f>ROUND($B$47*B100/100,2)</f>
        <v>162000</v>
      </c>
      <c r="F100" s="10">
        <f>ROUND($B$47*C100/100,2)</f>
        <v>0</v>
      </c>
      <c r="G100" s="10">
        <f>ROUND($B$47*D100/100,2)</f>
        <v>1458000</v>
      </c>
      <c r="H100" s="10">
        <f>IF(E100&gt;0,ROUND(-PMT($B$52/1200,$B$39,E100),2),0)</f>
        <v>811.23</v>
      </c>
      <c r="I100" s="10">
        <f>IF(F100&gt;0,ROUND(-PMT($B$53/1200,$B$39,F100),2),0)</f>
        <v>0</v>
      </c>
      <c r="J100" s="10">
        <f>IF(G100&gt;0,ROUND(-PMT($B$54/1200,$B$39,G100),2),0)</f>
        <v>7045.03</v>
      </c>
      <c r="K100" s="10">
        <f>H100+I100+J100</f>
        <v>7856.26</v>
      </c>
      <c r="L100" s="10">
        <f>IF(E100&gt;0,-PMT($B$52/1200,$B$39,E100),0)+IF(F100&gt;0,-PMT($B$53/1200,$B$39,F100),0)+IF(G100&gt;0,-PMT($B$54/1200,$B$39,G100),0)</f>
        <v>7856.26492519739</v>
      </c>
      <c r="M100" s="10">
        <f>L100*$B$39</f>
        <v>2828255.37307106</v>
      </c>
      <c r="N100" s="10">
        <f>IF(E100&gt;0,-PMT($B$52/1200,$B$39,E100),0)+IF(F100&gt;0,-PMT(($B$53+$B$40)/1200,$B$39-12,F100*((1+$B$53/1200)^$B$39-(1+$B$53/1200)^12)/((1+$B$53/1200)^$B$39-1)),0)+IF(G100&gt;0,-PMT(($B$54+$B$41)/1200,$B$39-$B$42,G100*((1+$B$54/1200)^$B$39-(1+$B$54/1200)^$B$42)/((1+$B$54/1200)^$B$39-1)),0)</f>
        <v>9402.36431500419</v>
      </c>
      <c r="O100" s="10">
        <f>N100-K100</f>
        <v>1546.10431500419</v>
      </c>
      <c r="P100" s="15">
        <f>C100+D100</f>
        <v>90</v>
      </c>
      <c r="Q100" s="15">
        <f>IF($B$51&gt;0,L100/$B$51*100,1000000)</f>
        <v>38.7963700009748</v>
      </c>
      <c r="R100" s="16">
        <f>IF(ABS(E100+F100+G100-$B$47)&gt;0.005,1,0)</f>
        <v>0</v>
      </c>
      <c r="S100" s="16">
        <f>IF($B$45&gt;$B$46,1,0)</f>
        <v>0</v>
      </c>
      <c r="T100" s="16">
        <f>IF($B$48&gt;$B$34,1,0)</f>
        <v>0</v>
      </c>
      <c r="U100" s="16">
        <f>IF(Q100&gt;$B$35,1,0)</f>
        <v>0</v>
      </c>
      <c r="V100" s="16">
        <f>IF((F100+G100)*$B$37&gt;$B$47*$B$36,1,0)</f>
        <v>1</v>
      </c>
      <c r="W100" s="16">
        <f>IF($B$39&gt;$B$38,1,0)</f>
        <v>0</v>
      </c>
      <c r="X100" s="16">
        <f>IF(Q100&gt;$B$55,1,0)</f>
        <v>0</v>
      </c>
      <c r="Y100" s="16">
        <f>IF($B$48&gt;$B$56,1,0)</f>
        <v>0</v>
      </c>
      <c r="Z100" s="16">
        <f>IF(L100&gt;$B$14,1,0)</f>
        <v>0</v>
      </c>
      <c r="AA100" s="16">
        <f>IF(Q100&gt;$B$15,1,0)</f>
        <v>0</v>
      </c>
      <c r="AB100" s="16">
        <f>SUM(R100:AA100)</f>
        <v>1</v>
      </c>
      <c r="AC100" s="16">
        <f>IF(AB100=0,1,0)</f>
        <v>0</v>
      </c>
      <c r="AD100" s="16" t="str">
        <f>IF(AC100=1,SUMPRODUCT(($AC$89:$AC$154=1)*($K$89:$K$154&lt;=K100)*($M$89:$M$154&lt;=M100)*($O$89:$O$154&lt;=O100)*((($K$89:$K$154&lt;K100)+($M$89:$M$154&lt;M100)+($O$89:$O$154&lt;O100))&gt;0)),"")</f>
        <v/>
      </c>
      <c r="AE100" s="16">
        <f>IF(AC100=1,IF(AD100=0,1,0),0)</f>
        <v>0</v>
      </c>
      <c r="AF100" s="10" t="str">
        <f>IF(AC100=1,K100,"")</f>
        <v/>
      </c>
      <c r="AG100" s="10" t="str">
        <f>IF(AC100=1,M100,"")</f>
        <v/>
      </c>
      <c r="AH100" s="10" t="str">
        <f>IF(AC100=1,O100,"")</f>
        <v/>
      </c>
      <c r="AI100" s="19">
        <f>IF($C$83=$B$83,0,ROUND((K100-$B$83)/($C$83-$B$83),4))</f>
        <v>-0.5604</v>
      </c>
      <c r="AJ100" s="19">
        <f>IF($C$84=$B$84,0,ROUND((M100-$B$84)/($C$84-$B$84),4))</f>
        <v>-0.5604</v>
      </c>
      <c r="AK100" s="19">
        <f>IF($C$85=$B$85,0,ROUND((O100-$B$85)/($C$85-$B$85),4))</f>
        <v>1.461</v>
      </c>
      <c r="AL100" s="20">
        <f>ROUND(($B$22*AI100+$B$23*AJ100+$B$24*AK100)/($B$22+$B$23+$B$24),9)</f>
        <v>0.04602</v>
      </c>
      <c r="AM100" s="16" t="str">
        <f>IF(AC100=1,1+COUNTIFS($AC$89:$AC$154,1,$AL$89:$AL$154,"&lt;"&amp;AL100)+COUNTIFS($AC$88:AC99,1,$AL$88:AL99,AL100),"")</f>
        <v/>
      </c>
    </row>
    <row r="101">
      <c r="A101" t="inlineStr">
        <is>
          <t>g10-10-80</t>
        </is>
      </c>
      <c r="B101" t="n">
        <v>10</v>
      </c>
      <c r="C101" t="n">
        <v>10</v>
      </c>
      <c r="D101" t="n">
        <v>80</v>
      </c>
      <c r="E101" s="10">
        <f>ROUND($B$47*B101/100,2)</f>
        <v>162000</v>
      </c>
      <c r="F101" s="10">
        <f>ROUND($B$47*C101/100,2)</f>
        <v>162000</v>
      </c>
      <c r="G101" s="10">
        <f>ROUND($B$47*D101/100,2)</f>
        <v>1296000</v>
      </c>
      <c r="H101" s="10">
        <f>IF(E101&gt;0,ROUND(-PMT($B$52/1200,$B$39,E101),2),0)</f>
        <v>811.23</v>
      </c>
      <c r="I101" s="10">
        <f>IF(F101&gt;0,ROUND(-PMT($B$53/1200,$B$39,F101),2),0)</f>
        <v>830.48</v>
      </c>
      <c r="J101" s="10">
        <f>IF(G101&gt;0,ROUND(-PMT($B$54/1200,$B$39,G101),2),0)</f>
        <v>6262.25</v>
      </c>
      <c r="K101" s="10">
        <f>H101+I101+J101</f>
        <v>7903.96</v>
      </c>
      <c r="L101" s="10">
        <f>IF(E101&gt;0,-PMT($B$52/1200,$B$39,E101),0)+IF(F101&gt;0,-PMT($B$53/1200,$B$39,F101),0)+IF(G101&gt;0,-PMT($B$54/1200,$B$39,G101),0)</f>
        <v>7903.96744051122</v>
      </c>
      <c r="M101" s="10">
        <f>L101*$B$39</f>
        <v>2845428.27858404</v>
      </c>
      <c r="N101" s="10">
        <f>IF(E101&gt;0,-PMT($B$52/1200,$B$39,E101),0)+IF(F101&gt;0,-PMT(($B$53+$B$40)/1200,$B$39-12,F101*((1+$B$53/1200)^$B$39-(1+$B$53/1200)^12)/((1+$B$53/1200)^$B$39-1)),0)+IF(G101&gt;0,-PMT(($B$54+$B$41)/1200,$B$39-$B$42,G101*((1+$B$54/1200)^$B$39-(1+$B$54/1200)^$B$42)/((1+$B$54/1200)^$B$39-1)),0)</f>
        <v>9477.31453261035</v>
      </c>
      <c r="O101" s="10">
        <f>N101-K101</f>
        <v>1573.35453261035</v>
      </c>
      <c r="P101" s="15">
        <f>C101+D101</f>
        <v>90</v>
      </c>
      <c r="Q101" s="15">
        <f>IF($B$51&gt;0,L101/$B$51*100,1000000)</f>
        <v>39.0319379778332</v>
      </c>
      <c r="R101" s="16">
        <f>IF(ABS(E101+F101+G101-$B$47)&gt;0.005,1,0)</f>
        <v>0</v>
      </c>
      <c r="S101" s="16">
        <f>IF($B$45&gt;$B$46,1,0)</f>
        <v>0</v>
      </c>
      <c r="T101" s="16">
        <f>IF($B$48&gt;$B$34,1,0)</f>
        <v>0</v>
      </c>
      <c r="U101" s="16">
        <f>IF(Q101&gt;$B$35,1,0)</f>
        <v>0</v>
      </c>
      <c r="V101" s="16">
        <f>IF((F101+G101)*$B$37&gt;$B$47*$B$36,1,0)</f>
        <v>1</v>
      </c>
      <c r="W101" s="16">
        <f>IF($B$39&gt;$B$38,1,0)</f>
        <v>0</v>
      </c>
      <c r="X101" s="16">
        <f>IF(Q101&gt;$B$55,1,0)</f>
        <v>0</v>
      </c>
      <c r="Y101" s="16">
        <f>IF($B$48&gt;$B$56,1,0)</f>
        <v>0</v>
      </c>
      <c r="Z101" s="16">
        <f>IF(L101&gt;$B$14,1,0)</f>
        <v>0</v>
      </c>
      <c r="AA101" s="16">
        <f>IF(Q101&gt;$B$15,1,0)</f>
        <v>0</v>
      </c>
      <c r="AB101" s="16">
        <f>SUM(R101:AA101)</f>
        <v>1</v>
      </c>
      <c r="AC101" s="16">
        <f>IF(AB101=0,1,0)</f>
        <v>0</v>
      </c>
      <c r="AD101" s="16" t="str">
        <f>IF(AC101=1,SUMPRODUCT(($AC$89:$AC$154=1)*($K$89:$K$154&lt;=K101)*($M$89:$M$154&lt;=M101)*($O$89:$O$154&lt;=O101)*((($K$89:$K$154&lt;K101)+($M$89:$M$154&lt;M101)+($O$89:$O$154&lt;O101))&gt;0)),"")</f>
        <v/>
      </c>
      <c r="AE101" s="16">
        <f>IF(AC101=1,IF(AD101=0,1,0),0)</f>
        <v>0</v>
      </c>
      <c r="AF101" s="10" t="str">
        <f>IF(AC101=1,K101,"")</f>
        <v/>
      </c>
      <c r="AG101" s="10" t="str">
        <f>IF(AC101=1,M101,"")</f>
        <v/>
      </c>
      <c r="AH101" s="10" t="str">
        <f>IF(AC101=1,O101,"")</f>
        <v/>
      </c>
      <c r="AI101" s="19">
        <f>IF($C$83=$B$83,0,ROUND((K101-$B$83)/($C$83-$B$83),4))</f>
        <v>-0.2473</v>
      </c>
      <c r="AJ101" s="19">
        <f>IF($C$84=$B$84,0,ROUND((M101-$B$84)/($C$84-$B$84),4))</f>
        <v>-0.2472</v>
      </c>
      <c r="AK101" s="19">
        <f>IF($C$85=$B$85,0,ROUND((O101-$B$85)/($C$85-$B$85),4))</f>
        <v>1.4899</v>
      </c>
      <c r="AL101" s="20">
        <f>ROUND(($B$22*AI101+$B$23*AJ101+$B$24*AK101)/($B$22+$B$23+$B$24),9)</f>
        <v>0.27389</v>
      </c>
      <c r="AM101" s="16" t="str">
        <f>IF(AC101=1,1+COUNTIFS($AC$89:$AC$154,1,$AL$89:$AL$154,"&lt;"&amp;AL101)+COUNTIFS($AC$88:AC100,1,$AL$88:AL100,AL101),"")</f>
        <v/>
      </c>
    </row>
    <row r="102">
      <c r="A102" t="inlineStr">
        <is>
          <t>g10-20-70</t>
        </is>
      </c>
      <c r="B102" t="n">
        <v>10</v>
      </c>
      <c r="C102" t="n">
        <v>20</v>
      </c>
      <c r="D102" t="n">
        <v>70</v>
      </c>
      <c r="E102" s="10">
        <f>ROUND($B$47*B102/100,2)</f>
        <v>162000</v>
      </c>
      <c r="F102" s="10">
        <f>ROUND($B$47*C102/100,2)</f>
        <v>324000</v>
      </c>
      <c r="G102" s="10">
        <f>ROUND($B$47*D102/100,2)</f>
        <v>1134000</v>
      </c>
      <c r="H102" s="10">
        <f>IF(E102&gt;0,ROUND(-PMT($B$52/1200,$B$39,E102),2),0)</f>
        <v>811.23</v>
      </c>
      <c r="I102" s="10">
        <f>IF(F102&gt;0,ROUND(-PMT($B$53/1200,$B$39,F102),2),0)</f>
        <v>1660.97</v>
      </c>
      <c r="J102" s="10">
        <f>IF(G102&gt;0,ROUND(-PMT($B$54/1200,$B$39,G102),2),0)</f>
        <v>5479.47</v>
      </c>
      <c r="K102" s="10">
        <f>H102+I102+J102</f>
        <v>7951.67</v>
      </c>
      <c r="L102" s="10">
        <f>IF(E102&gt;0,-PMT($B$52/1200,$B$39,E102),0)+IF(F102&gt;0,-PMT($B$53/1200,$B$39,F102),0)+IF(G102&gt;0,-PMT($B$54/1200,$B$39,G102),0)</f>
        <v>7951.66995582505</v>
      </c>
      <c r="M102" s="10">
        <f>L102*$B$39</f>
        <v>2862601.18409702</v>
      </c>
      <c r="N102" s="10">
        <f>IF(E102&gt;0,-PMT($B$52/1200,$B$39,E102),0)+IF(F102&gt;0,-PMT(($B$53+$B$40)/1200,$B$39-12,F102*((1+$B$53/1200)^$B$39-(1+$B$53/1200)^12)/((1+$B$53/1200)^$B$39-1)),0)+IF(G102&gt;0,-PMT(($B$54+$B$41)/1200,$B$39-$B$42,G102*((1+$B$54/1200)^$B$39-(1+$B$54/1200)^$B$42)/((1+$B$54/1200)^$B$39-1)),0)</f>
        <v>9552.2647502165</v>
      </c>
      <c r="O102" s="10">
        <f>N102-K102</f>
        <v>1600.5947502165</v>
      </c>
      <c r="P102" s="15">
        <f>C102+D102</f>
        <v>90</v>
      </c>
      <c r="Q102" s="15">
        <f>IF($B$51&gt;0,L102/$B$51*100,1000000)</f>
        <v>39.2675059546916</v>
      </c>
      <c r="R102" s="16">
        <f>IF(ABS(E102+F102+G102-$B$47)&gt;0.005,1,0)</f>
        <v>0</v>
      </c>
      <c r="S102" s="16">
        <f>IF($B$45&gt;$B$46,1,0)</f>
        <v>0</v>
      </c>
      <c r="T102" s="16">
        <f>IF($B$48&gt;$B$34,1,0)</f>
        <v>0</v>
      </c>
      <c r="U102" s="16">
        <f>IF(Q102&gt;$B$35,1,0)</f>
        <v>0</v>
      </c>
      <c r="V102" s="16">
        <f>IF((F102+G102)*$B$37&gt;$B$47*$B$36,1,0)</f>
        <v>1</v>
      </c>
      <c r="W102" s="16">
        <f>IF($B$39&gt;$B$38,1,0)</f>
        <v>0</v>
      </c>
      <c r="X102" s="16">
        <f>IF(Q102&gt;$B$55,1,0)</f>
        <v>0</v>
      </c>
      <c r="Y102" s="16">
        <f>IF($B$48&gt;$B$56,1,0)</f>
        <v>0</v>
      </c>
      <c r="Z102" s="16">
        <f>IF(L102&gt;$B$14,1,0)</f>
        <v>0</v>
      </c>
      <c r="AA102" s="16">
        <f>IF(Q102&gt;$B$15,1,0)</f>
        <v>0</v>
      </c>
      <c r="AB102" s="16">
        <f>SUM(R102:AA102)</f>
        <v>1</v>
      </c>
      <c r="AC102" s="16">
        <f>IF(AB102=0,1,0)</f>
        <v>0</v>
      </c>
      <c r="AD102" s="16" t="str">
        <f>IF(AC102=1,SUMPRODUCT(($AC$89:$AC$154=1)*($K$89:$K$154&lt;=K102)*($M$89:$M$154&lt;=M102)*($O$89:$O$154&lt;=O102)*((($K$89:$K$154&lt;K102)+($M$89:$M$154&lt;M102)+($O$89:$O$154&lt;O102))&gt;0)),"")</f>
        <v/>
      </c>
      <c r="AE102" s="16">
        <f>IF(AC102=1,IF(AD102=0,1,0),0)</f>
        <v>0</v>
      </c>
      <c r="AF102" s="10" t="str">
        <f>IF(AC102=1,K102,"")</f>
        <v/>
      </c>
      <c r="AG102" s="10" t="str">
        <f>IF(AC102=1,M102,"")</f>
        <v/>
      </c>
      <c r="AH102" s="10" t="str">
        <f>IF(AC102=1,O102,"")</f>
        <v/>
      </c>
      <c r="AI102" s="19">
        <f>IF($C$83=$B$83,0,ROUND((K102-$B$83)/($C$83-$B$83),4))</f>
        <v>0.066</v>
      </c>
      <c r="AJ102" s="19">
        <f>IF($C$84=$B$84,0,ROUND((M102-$B$84)/($C$84-$B$84),4))</f>
        <v>0.066</v>
      </c>
      <c r="AK102" s="19">
        <f>IF($C$85=$B$85,0,ROUND((O102-$B$85)/($C$85-$B$85),4))</f>
        <v>1.5189</v>
      </c>
      <c r="AL102" s="20">
        <f>ROUND(($B$22*AI102+$B$23*AJ102+$B$24*AK102)/($B$22+$B$23+$B$24),9)</f>
        <v>0.50187</v>
      </c>
      <c r="AM102" s="16" t="str">
        <f>IF(AC102=1,1+COUNTIFS($AC$89:$AC$154,1,$AL$89:$AL$154,"&lt;"&amp;AL102)+COUNTIFS($AC$88:AC101,1,$AL$88:AL101,AL102),"")</f>
        <v/>
      </c>
    </row>
    <row r="103">
      <c r="A103" t="inlineStr">
        <is>
          <t>g10-30-60</t>
        </is>
      </c>
      <c r="B103" t="n">
        <v>10</v>
      </c>
      <c r="C103" t="n">
        <v>30</v>
      </c>
      <c r="D103" t="n">
        <v>60</v>
      </c>
      <c r="E103" s="10">
        <f>ROUND($B$47*B103/100,2)</f>
        <v>162000</v>
      </c>
      <c r="F103" s="10">
        <f>ROUND($B$47*C103/100,2)</f>
        <v>486000</v>
      </c>
      <c r="G103" s="10">
        <f>ROUND($B$47*D103/100,2)</f>
        <v>972000</v>
      </c>
      <c r="H103" s="10">
        <f>IF(E103&gt;0,ROUND(-PMT($B$52/1200,$B$39,E103),2),0)</f>
        <v>811.23</v>
      </c>
      <c r="I103" s="10">
        <f>IF(F103&gt;0,ROUND(-PMT($B$53/1200,$B$39,F103),2),0)</f>
        <v>2491.45</v>
      </c>
      <c r="J103" s="10">
        <f>IF(G103&gt;0,ROUND(-PMT($B$54/1200,$B$39,G103),2),0)</f>
        <v>4696.69</v>
      </c>
      <c r="K103" s="10">
        <f>H103+I103+J103</f>
        <v>7999.37</v>
      </c>
      <c r="L103" s="10">
        <f>IF(E103&gt;0,-PMT($B$52/1200,$B$39,E103),0)+IF(F103&gt;0,-PMT($B$53/1200,$B$39,F103),0)+IF(G103&gt;0,-PMT($B$54/1200,$B$39,G103),0)</f>
        <v>7999.37247113888</v>
      </c>
      <c r="M103" s="10">
        <f>L103*$B$39</f>
        <v>2879774.08961</v>
      </c>
      <c r="N103" s="10">
        <f>IF(E103&gt;0,-PMT($B$52/1200,$B$39,E103),0)+IF(F103&gt;0,-PMT(($B$53+$B$40)/1200,$B$39-12,F103*((1+$B$53/1200)^$B$39-(1+$B$53/1200)^12)/((1+$B$53/1200)^$B$39-1)),0)+IF(G103&gt;0,-PMT(($B$54+$B$41)/1200,$B$39-$B$42,G103*((1+$B$54/1200)^$B$39-(1+$B$54/1200)^$B$42)/((1+$B$54/1200)^$B$39-1)),0)</f>
        <v>9627.21496782266</v>
      </c>
      <c r="O103" s="10">
        <f>N103-K103</f>
        <v>1627.84496782266</v>
      </c>
      <c r="P103" s="15">
        <f>C103+D103</f>
        <v>90</v>
      </c>
      <c r="Q103" s="15">
        <f>IF($B$51&gt;0,L103/$B$51*100,1000000)</f>
        <v>39.50307393155</v>
      </c>
      <c r="R103" s="16">
        <f>IF(ABS(E103+F103+G103-$B$47)&gt;0.005,1,0)</f>
        <v>0</v>
      </c>
      <c r="S103" s="16">
        <f>IF($B$45&gt;$B$46,1,0)</f>
        <v>0</v>
      </c>
      <c r="T103" s="16">
        <f>IF($B$48&gt;$B$34,1,0)</f>
        <v>0</v>
      </c>
      <c r="U103" s="16">
        <f>IF(Q103&gt;$B$35,1,0)</f>
        <v>0</v>
      </c>
      <c r="V103" s="16">
        <f>IF((F103+G103)*$B$37&gt;$B$47*$B$36,1,0)</f>
        <v>1</v>
      </c>
      <c r="W103" s="16">
        <f>IF($B$39&gt;$B$38,1,0)</f>
        <v>0</v>
      </c>
      <c r="X103" s="16">
        <f>IF(Q103&gt;$B$55,1,0)</f>
        <v>0</v>
      </c>
      <c r="Y103" s="16">
        <f>IF($B$48&gt;$B$56,1,0)</f>
        <v>0</v>
      </c>
      <c r="Z103" s="16">
        <f>IF(L103&gt;$B$14,1,0)</f>
        <v>0</v>
      </c>
      <c r="AA103" s="16">
        <f>IF(Q103&gt;$B$15,1,0)</f>
        <v>0</v>
      </c>
      <c r="AB103" s="16">
        <f>SUM(R103:AA103)</f>
        <v>1</v>
      </c>
      <c r="AC103" s="16">
        <f>IF(AB103=0,1,0)</f>
        <v>0</v>
      </c>
      <c r="AD103" s="16" t="str">
        <f>IF(AC103=1,SUMPRODUCT(($AC$89:$AC$154=1)*($K$89:$K$154&lt;=K103)*($M$89:$M$154&lt;=M103)*($O$89:$O$154&lt;=O103)*((($K$89:$K$154&lt;K103)+($M$89:$M$154&lt;M103)+($O$89:$O$154&lt;O103))&gt;0)),"")</f>
        <v/>
      </c>
      <c r="AE103" s="16">
        <f>IF(AC103=1,IF(AD103=0,1,0),0)</f>
        <v>0</v>
      </c>
      <c r="AF103" s="10" t="str">
        <f>IF(AC103=1,K103,"")</f>
        <v/>
      </c>
      <c r="AG103" s="10" t="str">
        <f>IF(AC103=1,M103,"")</f>
        <v/>
      </c>
      <c r="AH103" s="10" t="str">
        <f>IF(AC103=1,O103,"")</f>
        <v/>
      </c>
      <c r="AI103" s="19">
        <f>IF($C$83=$B$83,0,ROUND((K103-$B$83)/($C$83-$B$83),4))</f>
        <v>0.3792</v>
      </c>
      <c r="AJ103" s="19">
        <f>IF($C$84=$B$84,0,ROUND((M103-$B$84)/($C$84-$B$84),4))</f>
        <v>0.3792</v>
      </c>
      <c r="AK103" s="19">
        <f>IF($C$85=$B$85,0,ROUND((O103-$B$85)/($C$85-$B$85),4))</f>
        <v>1.5479</v>
      </c>
      <c r="AL103" s="20">
        <f>ROUND(($B$22*AI103+$B$23*AJ103+$B$24*AK103)/($B$22+$B$23+$B$24),9)</f>
        <v>0.72981</v>
      </c>
      <c r="AM103" s="16" t="str">
        <f>IF(AC103=1,1+COUNTIFS($AC$89:$AC$154,1,$AL$89:$AL$154,"&lt;"&amp;AL103)+COUNTIFS($AC$88:AC102,1,$AL$88:AL102,AL103),"")</f>
        <v/>
      </c>
    </row>
    <row r="104">
      <c r="A104" t="inlineStr">
        <is>
          <t>g10-40-50</t>
        </is>
      </c>
      <c r="B104" t="n">
        <v>10</v>
      </c>
      <c r="C104" t="n">
        <v>40</v>
      </c>
      <c r="D104" t="n">
        <v>50</v>
      </c>
      <c r="E104" s="10">
        <f>ROUND($B$47*B104/100,2)</f>
        <v>162000</v>
      </c>
      <c r="F104" s="10">
        <f>ROUND($B$47*C104/100,2)</f>
        <v>648000</v>
      </c>
      <c r="G104" s="10">
        <f>ROUND($B$47*D104/100,2)</f>
        <v>810000</v>
      </c>
      <c r="H104" s="10">
        <f>IF(E104&gt;0,ROUND(-PMT($B$52/1200,$B$39,E104),2),0)</f>
        <v>811.23</v>
      </c>
      <c r="I104" s="10">
        <f>IF(F104&gt;0,ROUND(-PMT($B$53/1200,$B$39,F104),2),0)</f>
        <v>3321.94</v>
      </c>
      <c r="J104" s="10">
        <f>IF(G104&gt;0,ROUND(-PMT($B$54/1200,$B$39,G104),2),0)</f>
        <v>3913.91</v>
      </c>
      <c r="K104" s="10">
        <f>H104+I104+J104</f>
        <v>8047.08</v>
      </c>
      <c r="L104" s="10">
        <f>IF(E104&gt;0,-PMT($B$52/1200,$B$39,E104),0)+IF(F104&gt;0,-PMT($B$53/1200,$B$39,F104),0)+IF(G104&gt;0,-PMT($B$54/1200,$B$39,G104),0)</f>
        <v>8047.07498645271</v>
      </c>
      <c r="M104" s="10">
        <f>L104*$B$39</f>
        <v>2896946.99512297</v>
      </c>
      <c r="N104" s="10">
        <f>IF(E104&gt;0,-PMT($B$52/1200,$B$39,E104),0)+IF(F104&gt;0,-PMT(($B$53+$B$40)/1200,$B$39-12,F104*((1+$B$53/1200)^$B$39-(1+$B$53/1200)^12)/((1+$B$53/1200)^$B$39-1)),0)+IF(G104&gt;0,-PMT(($B$54+$B$41)/1200,$B$39-$B$42,G104*((1+$B$54/1200)^$B$39-(1+$B$54/1200)^$B$42)/((1+$B$54/1200)^$B$39-1)),0)</f>
        <v>9702.16518542881</v>
      </c>
      <c r="O104" s="10">
        <f>N104-K104</f>
        <v>1655.08518542881</v>
      </c>
      <c r="P104" s="15">
        <f>C104+D104</f>
        <v>90</v>
      </c>
      <c r="Q104" s="15">
        <f>IF($B$51&gt;0,L104/$B$51*100,1000000)</f>
        <v>39.7386419084084</v>
      </c>
      <c r="R104" s="16">
        <f>IF(ABS(E104+F104+G104-$B$47)&gt;0.005,1,0)</f>
        <v>0</v>
      </c>
      <c r="S104" s="16">
        <f>IF($B$45&gt;$B$46,1,0)</f>
        <v>0</v>
      </c>
      <c r="T104" s="16">
        <f>IF($B$48&gt;$B$34,1,0)</f>
        <v>0</v>
      </c>
      <c r="U104" s="16">
        <f>IF(Q104&gt;$B$35,1,0)</f>
        <v>0</v>
      </c>
      <c r="V104" s="16">
        <f>IF((F104+G104)*$B$37&gt;$B$47*$B$36,1,0)</f>
        <v>1</v>
      </c>
      <c r="W104" s="16">
        <f>IF($B$39&gt;$B$38,1,0)</f>
        <v>0</v>
      </c>
      <c r="X104" s="16">
        <f>IF(Q104&gt;$B$55,1,0)</f>
        <v>0</v>
      </c>
      <c r="Y104" s="16">
        <f>IF($B$48&gt;$B$56,1,0)</f>
        <v>0</v>
      </c>
      <c r="Z104" s="16">
        <f>IF(L104&gt;$B$14,1,0)</f>
        <v>0</v>
      </c>
      <c r="AA104" s="16">
        <f>IF(Q104&gt;$B$15,1,0)</f>
        <v>0</v>
      </c>
      <c r="AB104" s="16">
        <f>SUM(R104:AA104)</f>
        <v>1</v>
      </c>
      <c r="AC104" s="16">
        <f>IF(AB104=0,1,0)</f>
        <v>0</v>
      </c>
      <c r="AD104" s="16" t="str">
        <f>IF(AC104=1,SUMPRODUCT(($AC$89:$AC$154=1)*($K$89:$K$154&lt;=K104)*($M$89:$M$154&lt;=M104)*($O$89:$O$154&lt;=O104)*((($K$89:$K$154&lt;K104)+($M$89:$M$154&lt;M104)+($O$89:$O$154&lt;O104))&gt;0)),"")</f>
        <v/>
      </c>
      <c r="AE104" s="16">
        <f>IF(AC104=1,IF(AD104=0,1,0),0)</f>
        <v>0</v>
      </c>
      <c r="AF104" s="10" t="str">
        <f>IF(AC104=1,K104,"")</f>
        <v/>
      </c>
      <c r="AG104" s="10" t="str">
        <f>IF(AC104=1,M104,"")</f>
        <v/>
      </c>
      <c r="AH104" s="10" t="str">
        <f>IF(AC104=1,O104,"")</f>
        <v/>
      </c>
      <c r="AI104" s="19">
        <f>IF($C$83=$B$83,0,ROUND((K104-$B$83)/($C$83-$B$83),4))</f>
        <v>0.6924</v>
      </c>
      <c r="AJ104" s="19">
        <f>IF($C$84=$B$84,0,ROUND((M104-$B$84)/($C$84-$B$84),4))</f>
        <v>0.6924</v>
      </c>
      <c r="AK104" s="19">
        <f>IF($C$85=$B$85,0,ROUND((O104-$B$85)/($C$85-$B$85),4))</f>
        <v>1.5768</v>
      </c>
      <c r="AL104" s="20">
        <f>ROUND(($B$22*AI104+$B$23*AJ104+$B$24*AK104)/($B$22+$B$23+$B$24),9)</f>
        <v>0.95772</v>
      </c>
      <c r="AM104" s="16" t="str">
        <f>IF(AC104=1,1+COUNTIFS($AC$89:$AC$154,1,$AL$89:$AL$154,"&lt;"&amp;AL104)+COUNTIFS($AC$88:AC103,1,$AL$88:AL103,AL104),"")</f>
        <v/>
      </c>
    </row>
    <row r="105">
      <c r="A105" t="inlineStr">
        <is>
          <t>g10-50-40</t>
        </is>
      </c>
      <c r="B105" t="n">
        <v>10</v>
      </c>
      <c r="C105" t="n">
        <v>50</v>
      </c>
      <c r="D105" t="n">
        <v>40</v>
      </c>
      <c r="E105" s="10">
        <f>ROUND($B$47*B105/100,2)</f>
        <v>162000</v>
      </c>
      <c r="F105" s="10">
        <f>ROUND($B$47*C105/100,2)</f>
        <v>810000</v>
      </c>
      <c r="G105" s="10">
        <f>ROUND($B$47*D105/100,2)</f>
        <v>648000</v>
      </c>
      <c r="H105" s="10">
        <f>IF(E105&gt;0,ROUND(-PMT($B$52/1200,$B$39,E105),2),0)</f>
        <v>811.23</v>
      </c>
      <c r="I105" s="10">
        <f>IF(F105&gt;0,ROUND(-PMT($B$53/1200,$B$39,F105),2),0)</f>
        <v>4152.42</v>
      </c>
      <c r="J105" s="10">
        <f>IF(G105&gt;0,ROUND(-PMT($B$54/1200,$B$39,G105),2),0)</f>
        <v>3131.13</v>
      </c>
      <c r="K105" s="10">
        <f>H105+I105+J105</f>
        <v>8094.78</v>
      </c>
      <c r="L105" s="10">
        <f>IF(E105&gt;0,-PMT($B$52/1200,$B$39,E105),0)+IF(F105&gt;0,-PMT($B$53/1200,$B$39,F105),0)+IF(G105&gt;0,-PMT($B$54/1200,$B$39,G105),0)</f>
        <v>8094.77750176654</v>
      </c>
      <c r="M105" s="10">
        <f>L105*$B$39</f>
        <v>2914119.90063595</v>
      </c>
      <c r="N105" s="10">
        <f>IF(E105&gt;0,-PMT($B$52/1200,$B$39,E105),0)+IF(F105&gt;0,-PMT(($B$53+$B$40)/1200,$B$39-12,F105*((1+$B$53/1200)^$B$39-(1+$B$53/1200)^12)/((1+$B$53/1200)^$B$39-1)),0)+IF(G105&gt;0,-PMT(($B$54+$B$41)/1200,$B$39-$B$42,G105*((1+$B$54/1200)^$B$39-(1+$B$54/1200)^$B$42)/((1+$B$54/1200)^$B$39-1)),0)</f>
        <v>9777.11540303497</v>
      </c>
      <c r="O105" s="10">
        <f>N105-K105</f>
        <v>1682.33540303497</v>
      </c>
      <c r="P105" s="15">
        <f>C105+D105</f>
        <v>90</v>
      </c>
      <c r="Q105" s="15">
        <f>IF($B$51&gt;0,L105/$B$51*100,1000000)</f>
        <v>39.9742098852668</v>
      </c>
      <c r="R105" s="16">
        <f>IF(ABS(E105+F105+G105-$B$47)&gt;0.005,1,0)</f>
        <v>0</v>
      </c>
      <c r="S105" s="16">
        <f>IF($B$45&gt;$B$46,1,0)</f>
        <v>0</v>
      </c>
      <c r="T105" s="16">
        <f>IF($B$48&gt;$B$34,1,0)</f>
        <v>0</v>
      </c>
      <c r="U105" s="16">
        <f>IF(Q105&gt;$B$35,1,0)</f>
        <v>0</v>
      </c>
      <c r="V105" s="16">
        <f>IF((F105+G105)*$B$37&gt;$B$47*$B$36,1,0)</f>
        <v>1</v>
      </c>
      <c r="W105" s="16">
        <f>IF($B$39&gt;$B$38,1,0)</f>
        <v>0</v>
      </c>
      <c r="X105" s="16">
        <f>IF(Q105&gt;$B$55,1,0)</f>
        <v>0</v>
      </c>
      <c r="Y105" s="16">
        <f>IF($B$48&gt;$B$56,1,0)</f>
        <v>0</v>
      </c>
      <c r="Z105" s="16">
        <f>IF(L105&gt;$B$14,1,0)</f>
        <v>0</v>
      </c>
      <c r="AA105" s="16">
        <f>IF(Q105&gt;$B$15,1,0)</f>
        <v>0</v>
      </c>
      <c r="AB105" s="16">
        <f>SUM(R105:AA105)</f>
        <v>1</v>
      </c>
      <c r="AC105" s="16">
        <f>IF(AB105=0,1,0)</f>
        <v>0</v>
      </c>
      <c r="AD105" s="16" t="str">
        <f>IF(AC105=1,SUMPRODUCT(($AC$89:$AC$154=1)*($K$89:$K$154&lt;=K105)*($M$89:$M$154&lt;=M105)*($O$89:$O$154&lt;=O105)*((($K$89:$K$154&lt;K105)+($M$89:$M$154&lt;M105)+($O$89:$O$154&lt;O105))&gt;0)),"")</f>
        <v/>
      </c>
      <c r="AE105" s="16">
        <f>IF(AC105=1,IF(AD105=0,1,0),0)</f>
        <v>0</v>
      </c>
      <c r="AF105" s="10" t="str">
        <f>IF(AC105=1,K105,"")</f>
        <v/>
      </c>
      <c r="AG105" s="10" t="str">
        <f>IF(AC105=1,M105,"")</f>
        <v/>
      </c>
      <c r="AH105" s="10" t="str">
        <f>IF(AC105=1,O105,"")</f>
        <v/>
      </c>
      <c r="AI105" s="19">
        <f>IF($C$83=$B$83,0,ROUND((K105-$B$83)/($C$83-$B$83),4))</f>
        <v>1.0056</v>
      </c>
      <c r="AJ105" s="19">
        <f>IF($C$84=$B$84,0,ROUND((M105-$B$84)/($C$84-$B$84),4))</f>
        <v>1.0056</v>
      </c>
      <c r="AK105" s="19">
        <f>IF($C$85=$B$85,0,ROUND((O105-$B$85)/($C$85-$B$85),4))</f>
        <v>1.6058</v>
      </c>
      <c r="AL105" s="20">
        <f>ROUND(($B$22*AI105+$B$23*AJ105+$B$24*AK105)/($B$22+$B$23+$B$24),9)</f>
        <v>1.18566</v>
      </c>
      <c r="AM105" s="16" t="str">
        <f>IF(AC105=1,1+COUNTIFS($AC$89:$AC$154,1,$AL$89:$AL$154,"&lt;"&amp;AL105)+COUNTIFS($AC$88:AC104,1,$AL$88:AL104,AL105),"")</f>
        <v/>
      </c>
    </row>
    <row r="106">
      <c r="A106" t="inlineStr">
        <is>
          <t>g10-60-30</t>
        </is>
      </c>
      <c r="B106" t="n">
        <v>10</v>
      </c>
      <c r="C106" t="n">
        <v>60</v>
      </c>
      <c r="D106" t="n">
        <v>30</v>
      </c>
      <c r="E106" s="10">
        <f>ROUND($B$47*B106/100,2)</f>
        <v>162000</v>
      </c>
      <c r="F106" s="10">
        <f>ROUND($B$47*C106/100,2)</f>
        <v>972000</v>
      </c>
      <c r="G106" s="10">
        <f>ROUND($B$47*D106/100,2)</f>
        <v>486000</v>
      </c>
      <c r="H106" s="10">
        <f>IF(E106&gt;0,ROUND(-PMT($B$52/1200,$B$39,E106),2),0)</f>
        <v>811.23</v>
      </c>
      <c r="I106" s="10">
        <f>IF(F106&gt;0,ROUND(-PMT($B$53/1200,$B$39,F106),2),0)</f>
        <v>4982.9</v>
      </c>
      <c r="J106" s="10">
        <f>IF(G106&gt;0,ROUND(-PMT($B$54/1200,$B$39,G106),2),0)</f>
        <v>2348.34</v>
      </c>
      <c r="K106" s="10">
        <f>H106+I106+J106</f>
        <v>8142.47</v>
      </c>
      <c r="L106" s="10">
        <f>IF(E106&gt;0,-PMT($B$52/1200,$B$39,E106),0)+IF(F106&gt;0,-PMT($B$53/1200,$B$39,F106),0)+IF(G106&gt;0,-PMT($B$54/1200,$B$39,G106),0)</f>
        <v>8142.48001708037</v>
      </c>
      <c r="M106" s="10">
        <f>L106*$B$39</f>
        <v>2931292.80614893</v>
      </c>
      <c r="N106" s="10">
        <f>IF(E106&gt;0,-PMT($B$52/1200,$B$39,E106),0)+IF(F106&gt;0,-PMT(($B$53+$B$40)/1200,$B$39-12,F106*((1+$B$53/1200)^$B$39-(1+$B$53/1200)^12)/((1+$B$53/1200)^$B$39-1)),0)+IF(G106&gt;0,-PMT(($B$54+$B$41)/1200,$B$39-$B$42,G106*((1+$B$54/1200)^$B$39-(1+$B$54/1200)^$B$42)/((1+$B$54/1200)^$B$39-1)),0)</f>
        <v>9852.06562064112</v>
      </c>
      <c r="O106" s="10">
        <f>N106-K106</f>
        <v>1709.59562064112</v>
      </c>
      <c r="P106" s="15">
        <f>C106+D106</f>
        <v>90</v>
      </c>
      <c r="Q106" s="15">
        <f>IF($B$51&gt;0,L106/$B$51*100,1000000)</f>
        <v>40.2097778621253</v>
      </c>
      <c r="R106" s="16">
        <f>IF(ABS(E106+F106+G106-$B$47)&gt;0.005,1,0)</f>
        <v>0</v>
      </c>
      <c r="S106" s="16">
        <f>IF($B$45&gt;$B$46,1,0)</f>
        <v>0</v>
      </c>
      <c r="T106" s="16">
        <f>IF($B$48&gt;$B$34,1,0)</f>
        <v>0</v>
      </c>
      <c r="U106" s="16">
        <f>IF(Q106&gt;$B$35,1,0)</f>
        <v>0</v>
      </c>
      <c r="V106" s="16">
        <f>IF((F106+G106)*$B$37&gt;$B$47*$B$36,1,0)</f>
        <v>1</v>
      </c>
      <c r="W106" s="16">
        <f>IF($B$39&gt;$B$38,1,0)</f>
        <v>0</v>
      </c>
      <c r="X106" s="16">
        <f>IF(Q106&gt;$B$55,1,0)</f>
        <v>0</v>
      </c>
      <c r="Y106" s="16">
        <f>IF($B$48&gt;$B$56,1,0)</f>
        <v>0</v>
      </c>
      <c r="Z106" s="16">
        <f>IF(L106&gt;$B$14,1,0)</f>
        <v>0</v>
      </c>
      <c r="AA106" s="16">
        <f>IF(Q106&gt;$B$15,1,0)</f>
        <v>1</v>
      </c>
      <c r="AB106" s="16">
        <f>SUM(R106:AA106)</f>
        <v>2</v>
      </c>
      <c r="AC106" s="16">
        <f>IF(AB106=0,1,0)</f>
        <v>0</v>
      </c>
      <c r="AD106" s="16" t="str">
        <f>IF(AC106=1,SUMPRODUCT(($AC$89:$AC$154=1)*($K$89:$K$154&lt;=K106)*($M$89:$M$154&lt;=M106)*($O$89:$O$154&lt;=O106)*((($K$89:$K$154&lt;K106)+($M$89:$M$154&lt;M106)+($O$89:$O$154&lt;O106))&gt;0)),"")</f>
        <v/>
      </c>
      <c r="AE106" s="16">
        <f>IF(AC106=1,IF(AD106=0,1,0),0)</f>
        <v>0</v>
      </c>
      <c r="AF106" s="10" t="str">
        <f>IF(AC106=1,K106,"")</f>
        <v/>
      </c>
      <c r="AG106" s="10" t="str">
        <f>IF(AC106=1,M106,"")</f>
        <v/>
      </c>
      <c r="AH106" s="10" t="str">
        <f>IF(AC106=1,O106,"")</f>
        <v/>
      </c>
      <c r="AI106" s="19">
        <f>IF($C$83=$B$83,0,ROUND((K106-$B$83)/($C$83-$B$83),4))</f>
        <v>1.3187</v>
      </c>
      <c r="AJ106" s="19">
        <f>IF($C$84=$B$84,0,ROUND((M106-$B$84)/($C$84-$B$84),4))</f>
        <v>1.3188</v>
      </c>
      <c r="AK106" s="19">
        <f>IF($C$85=$B$85,0,ROUND((O106-$B$85)/($C$85-$B$85),4))</f>
        <v>1.6348</v>
      </c>
      <c r="AL106" s="20">
        <f>ROUND(($B$22*AI106+$B$23*AJ106+$B$24*AK106)/($B$22+$B$23+$B$24),9)</f>
        <v>1.41356</v>
      </c>
      <c r="AM106" s="16" t="str">
        <f>IF(AC106=1,1+COUNTIFS($AC$89:$AC$154,1,$AL$89:$AL$154,"&lt;"&amp;AL106)+COUNTIFS($AC$88:AC105,1,$AL$88:AL105,AL106),"")</f>
        <v/>
      </c>
    </row>
    <row r="107">
      <c r="A107" t="inlineStr">
        <is>
          <t>g10-70-20</t>
        </is>
      </c>
      <c r="B107" t="n">
        <v>10</v>
      </c>
      <c r="C107" t="n">
        <v>70</v>
      </c>
      <c r="D107" t="n">
        <v>20</v>
      </c>
      <c r="E107" s="10">
        <f>ROUND($B$47*B107/100,2)</f>
        <v>162000</v>
      </c>
      <c r="F107" s="10">
        <f>ROUND($B$47*C107/100,2)</f>
        <v>1134000</v>
      </c>
      <c r="G107" s="10">
        <f>ROUND($B$47*D107/100,2)</f>
        <v>324000</v>
      </c>
      <c r="H107" s="10">
        <f>IF(E107&gt;0,ROUND(-PMT($B$52/1200,$B$39,E107),2),0)</f>
        <v>811.23</v>
      </c>
      <c r="I107" s="10">
        <f>IF(F107&gt;0,ROUND(-PMT($B$53/1200,$B$39,F107),2),0)</f>
        <v>5813.39</v>
      </c>
      <c r="J107" s="10">
        <f>IF(G107&gt;0,ROUND(-PMT($B$54/1200,$B$39,G107),2),0)</f>
        <v>1565.56</v>
      </c>
      <c r="K107" s="10">
        <f>H107+I107+J107</f>
        <v>8190.18</v>
      </c>
      <c r="L107" s="10">
        <f>IF(E107&gt;0,-PMT($B$52/1200,$B$39,E107),0)+IF(F107&gt;0,-PMT($B$53/1200,$B$39,F107),0)+IF(G107&gt;0,-PMT($B$54/1200,$B$39,G107),0)</f>
        <v>8190.1825323942</v>
      </c>
      <c r="M107" s="10">
        <f>L107*$B$39</f>
        <v>2948465.71166191</v>
      </c>
      <c r="N107" s="10">
        <f>IF(E107&gt;0,-PMT($B$52/1200,$B$39,E107),0)+IF(F107&gt;0,-PMT(($B$53+$B$40)/1200,$B$39-12,F107*((1+$B$53/1200)^$B$39-(1+$B$53/1200)^12)/((1+$B$53/1200)^$B$39-1)),0)+IF(G107&gt;0,-PMT(($B$54+$B$41)/1200,$B$39-$B$42,G107*((1+$B$54/1200)^$B$39-(1+$B$54/1200)^$B$42)/((1+$B$54/1200)^$B$39-1)),0)</f>
        <v>9927.01583824728</v>
      </c>
      <c r="O107" s="10">
        <f>N107-K107</f>
        <v>1736.83583824728</v>
      </c>
      <c r="P107" s="15">
        <f>C107+D107</f>
        <v>90</v>
      </c>
      <c r="Q107" s="15">
        <f>IF($B$51&gt;0,L107/$B$51*100,1000000)</f>
        <v>40.4453458389837</v>
      </c>
      <c r="R107" s="16">
        <f>IF(ABS(E107+F107+G107-$B$47)&gt;0.005,1,0)</f>
        <v>0</v>
      </c>
      <c r="S107" s="16">
        <f>IF($B$45&gt;$B$46,1,0)</f>
        <v>0</v>
      </c>
      <c r="T107" s="16">
        <f>IF($B$48&gt;$B$34,1,0)</f>
        <v>0</v>
      </c>
      <c r="U107" s="16">
        <f>IF(Q107&gt;$B$35,1,0)</f>
        <v>0</v>
      </c>
      <c r="V107" s="16">
        <f>IF((F107+G107)*$B$37&gt;$B$47*$B$36,1,0)</f>
        <v>1</v>
      </c>
      <c r="W107" s="16">
        <f>IF($B$39&gt;$B$38,1,0)</f>
        <v>0</v>
      </c>
      <c r="X107" s="16">
        <f>IF(Q107&gt;$B$55,1,0)</f>
        <v>0</v>
      </c>
      <c r="Y107" s="16">
        <f>IF($B$48&gt;$B$56,1,0)</f>
        <v>0</v>
      </c>
      <c r="Z107" s="16">
        <f>IF(L107&gt;$B$14,1,0)</f>
        <v>0</v>
      </c>
      <c r="AA107" s="16">
        <f>IF(Q107&gt;$B$15,1,0)</f>
        <v>1</v>
      </c>
      <c r="AB107" s="16">
        <f>SUM(R107:AA107)</f>
        <v>2</v>
      </c>
      <c r="AC107" s="16">
        <f>IF(AB107=0,1,0)</f>
        <v>0</v>
      </c>
      <c r="AD107" s="16" t="str">
        <f>IF(AC107=1,SUMPRODUCT(($AC$89:$AC$154=1)*($K$89:$K$154&lt;=K107)*($M$89:$M$154&lt;=M107)*($O$89:$O$154&lt;=O107)*((($K$89:$K$154&lt;K107)+($M$89:$M$154&lt;M107)+($O$89:$O$154&lt;O107))&gt;0)),"")</f>
        <v/>
      </c>
      <c r="AE107" s="16">
        <f>IF(AC107=1,IF(AD107=0,1,0),0)</f>
        <v>0</v>
      </c>
      <c r="AF107" s="10" t="str">
        <f>IF(AC107=1,K107,"")</f>
        <v/>
      </c>
      <c r="AG107" s="10" t="str">
        <f>IF(AC107=1,M107,"")</f>
        <v/>
      </c>
      <c r="AH107" s="10" t="str">
        <f>IF(AC107=1,O107,"")</f>
        <v/>
      </c>
      <c r="AI107" s="19">
        <f>IF($C$83=$B$83,0,ROUND((K107-$B$83)/($C$83-$B$83),4))</f>
        <v>1.6319</v>
      </c>
      <c r="AJ107" s="19">
        <f>IF($C$84=$B$84,0,ROUND((M107-$B$84)/($C$84-$B$84),4))</f>
        <v>1.632</v>
      </c>
      <c r="AK107" s="19">
        <f>IF($C$85=$B$85,0,ROUND((O107-$B$85)/($C$85-$B$85),4))</f>
        <v>1.6637</v>
      </c>
      <c r="AL107" s="20">
        <f>ROUND(($B$22*AI107+$B$23*AJ107+$B$24*AK107)/($B$22+$B$23+$B$24),9)</f>
        <v>1.64147</v>
      </c>
      <c r="AM107" s="16" t="str">
        <f>IF(AC107=1,1+COUNTIFS($AC$89:$AC$154,1,$AL$89:$AL$154,"&lt;"&amp;AL107)+COUNTIFS($AC$88:AC106,1,$AL$88:AL106,AL107),"")</f>
        <v/>
      </c>
    </row>
    <row r="108">
      <c r="A108" t="inlineStr">
        <is>
          <t>g10-80-10</t>
        </is>
      </c>
      <c r="B108" t="n">
        <v>10</v>
      </c>
      <c r="C108" t="n">
        <v>80</v>
      </c>
      <c r="D108" t="n">
        <v>10</v>
      </c>
      <c r="E108" s="10">
        <f>ROUND($B$47*B108/100,2)</f>
        <v>162000</v>
      </c>
      <c r="F108" s="10">
        <f>ROUND($B$47*C108/100,2)</f>
        <v>1296000</v>
      </c>
      <c r="G108" s="10">
        <f>ROUND($B$47*D108/100,2)</f>
        <v>162000</v>
      </c>
      <c r="H108" s="10">
        <f>IF(E108&gt;0,ROUND(-PMT($B$52/1200,$B$39,E108),2),0)</f>
        <v>811.23</v>
      </c>
      <c r="I108" s="10">
        <f>IF(F108&gt;0,ROUND(-PMT($B$53/1200,$B$39,F108),2),0)</f>
        <v>6643.87</v>
      </c>
      <c r="J108" s="10">
        <f>IF(G108&gt;0,ROUND(-PMT($B$54/1200,$B$39,G108),2),0)</f>
        <v>782.78</v>
      </c>
      <c r="K108" s="10">
        <f>H108+I108+J108</f>
        <v>8237.88</v>
      </c>
      <c r="L108" s="10">
        <f>IF(E108&gt;0,-PMT($B$52/1200,$B$39,E108),0)+IF(F108&gt;0,-PMT($B$53/1200,$B$39,F108),0)+IF(G108&gt;0,-PMT($B$54/1200,$B$39,G108),0)</f>
        <v>8237.88504770802</v>
      </c>
      <c r="M108" s="10">
        <f>L108*$B$39</f>
        <v>2965638.61717489</v>
      </c>
      <c r="N108" s="10">
        <f>IF(E108&gt;0,-PMT($B$52/1200,$B$39,E108),0)+IF(F108&gt;0,-PMT(($B$53+$B$40)/1200,$B$39-12,F108*((1+$B$53/1200)^$B$39-(1+$B$53/1200)^12)/((1+$B$53/1200)^$B$39-1)),0)+IF(G108&gt;0,-PMT(($B$54+$B$41)/1200,$B$39-$B$42,G108*((1+$B$54/1200)^$B$39-(1+$B$54/1200)^$B$42)/((1+$B$54/1200)^$B$39-1)),0)</f>
        <v>10001.9660558534</v>
      </c>
      <c r="O108" s="10">
        <f>N108-K108</f>
        <v>1764.08605585343</v>
      </c>
      <c r="P108" s="15">
        <f>C108+D108</f>
        <v>90</v>
      </c>
      <c r="Q108" s="15">
        <f>IF($B$51&gt;0,L108/$B$51*100,1000000)</f>
        <v>40.6809138158421</v>
      </c>
      <c r="R108" s="16">
        <f>IF(ABS(E108+F108+G108-$B$47)&gt;0.005,1,0)</f>
        <v>0</v>
      </c>
      <c r="S108" s="16">
        <f>IF($B$45&gt;$B$46,1,0)</f>
        <v>0</v>
      </c>
      <c r="T108" s="16">
        <f>IF($B$48&gt;$B$34,1,0)</f>
        <v>0</v>
      </c>
      <c r="U108" s="16">
        <f>IF(Q108&gt;$B$35,1,0)</f>
        <v>0</v>
      </c>
      <c r="V108" s="16">
        <f>IF((F108+G108)*$B$37&gt;$B$47*$B$36,1,0)</f>
        <v>1</v>
      </c>
      <c r="W108" s="16">
        <f>IF($B$39&gt;$B$38,1,0)</f>
        <v>0</v>
      </c>
      <c r="X108" s="16">
        <f>IF(Q108&gt;$B$55,1,0)</f>
        <v>0</v>
      </c>
      <c r="Y108" s="16">
        <f>IF($B$48&gt;$B$56,1,0)</f>
        <v>0</v>
      </c>
      <c r="Z108" s="16">
        <f>IF(L108&gt;$B$14,1,0)</f>
        <v>0</v>
      </c>
      <c r="AA108" s="16">
        <f>IF(Q108&gt;$B$15,1,0)</f>
        <v>1</v>
      </c>
      <c r="AB108" s="16">
        <f>SUM(R108:AA108)</f>
        <v>2</v>
      </c>
      <c r="AC108" s="16">
        <f>IF(AB108=0,1,0)</f>
        <v>0</v>
      </c>
      <c r="AD108" s="16" t="str">
        <f>IF(AC108=1,SUMPRODUCT(($AC$89:$AC$154=1)*($K$89:$K$154&lt;=K108)*($M$89:$M$154&lt;=M108)*($O$89:$O$154&lt;=O108)*((($K$89:$K$154&lt;K108)+($M$89:$M$154&lt;M108)+($O$89:$O$154&lt;O108))&gt;0)),"")</f>
        <v/>
      </c>
      <c r="AE108" s="16">
        <f>IF(AC108=1,IF(AD108=0,1,0),0)</f>
        <v>0</v>
      </c>
      <c r="AF108" s="10" t="str">
        <f>IF(AC108=1,K108,"")</f>
        <v/>
      </c>
      <c r="AG108" s="10" t="str">
        <f>IF(AC108=1,M108,"")</f>
        <v/>
      </c>
      <c r="AH108" s="10" t="str">
        <f>IF(AC108=1,O108,"")</f>
        <v/>
      </c>
      <c r="AI108" s="19">
        <f>IF($C$83=$B$83,0,ROUND((K108-$B$83)/($C$83-$B$83),4))</f>
        <v>1.9451</v>
      </c>
      <c r="AJ108" s="19">
        <f>IF($C$84=$B$84,0,ROUND((M108-$B$84)/($C$84-$B$84),4))</f>
        <v>1.9452</v>
      </c>
      <c r="AK108" s="19">
        <f>IF($C$85=$B$85,0,ROUND((O108-$B$85)/($C$85-$B$85),4))</f>
        <v>1.6927</v>
      </c>
      <c r="AL108" s="20">
        <f>ROUND(($B$22*AI108+$B$23*AJ108+$B$24*AK108)/($B$22+$B$23+$B$24),9)</f>
        <v>1.86941</v>
      </c>
      <c r="AM108" s="16" t="str">
        <f>IF(AC108=1,1+COUNTIFS($AC$89:$AC$154,1,$AL$89:$AL$154,"&lt;"&amp;AL108)+COUNTIFS($AC$88:AC107,1,$AL$88:AL107,AL108),"")</f>
        <v/>
      </c>
    </row>
    <row r="109">
      <c r="A109" t="inlineStr">
        <is>
          <t>g10-90-0</t>
        </is>
      </c>
      <c r="B109" t="n">
        <v>10</v>
      </c>
      <c r="C109" t="n">
        <v>90</v>
      </c>
      <c r="D109" t="n">
        <v>0</v>
      </c>
      <c r="E109" s="10">
        <f>ROUND($B$47*B109/100,2)</f>
        <v>162000</v>
      </c>
      <c r="F109" s="10">
        <f>ROUND($B$47*C109/100,2)</f>
        <v>1458000</v>
      </c>
      <c r="G109" s="10">
        <f>ROUND($B$47*D109/100,2)</f>
        <v>0</v>
      </c>
      <c r="H109" s="10">
        <f>IF(E109&gt;0,ROUND(-PMT($B$52/1200,$B$39,E109),2),0)</f>
        <v>811.23</v>
      </c>
      <c r="I109" s="10">
        <f>IF(F109&gt;0,ROUND(-PMT($B$53/1200,$B$39,F109),2),0)</f>
        <v>7474.35</v>
      </c>
      <c r="J109" s="10">
        <f>IF(G109&gt;0,ROUND(-PMT($B$54/1200,$B$39,G109),2),0)</f>
        <v>0</v>
      </c>
      <c r="K109" s="10">
        <f>H109+I109+J109</f>
        <v>8285.58</v>
      </c>
      <c r="L109" s="10">
        <f>IF(E109&gt;0,-PMT($B$52/1200,$B$39,E109),0)+IF(F109&gt;0,-PMT($B$53/1200,$B$39,F109),0)+IF(G109&gt;0,-PMT($B$54/1200,$B$39,G109),0)</f>
        <v>8285.58756302185</v>
      </c>
      <c r="M109" s="10">
        <f>L109*$B$39</f>
        <v>2982811.52268787</v>
      </c>
      <c r="N109" s="10">
        <f>IF(E109&gt;0,-PMT($B$52/1200,$B$39,E109),0)+IF(F109&gt;0,-PMT(($B$53+$B$40)/1200,$B$39-12,F109*((1+$B$53/1200)^$B$39-(1+$B$53/1200)^12)/((1+$B$53/1200)^$B$39-1)),0)+IF(G109&gt;0,-PMT(($B$54+$B$41)/1200,$B$39-$B$42,G109*((1+$B$54/1200)^$B$39-(1+$B$54/1200)^$B$42)/((1+$B$54/1200)^$B$39-1)),0)</f>
        <v>10076.9162734596</v>
      </c>
      <c r="O109" s="10">
        <f>N109-K109</f>
        <v>1791.33627345959</v>
      </c>
      <c r="P109" s="15">
        <f>C109+D109</f>
        <v>90</v>
      </c>
      <c r="Q109" s="15">
        <f>IF($B$51&gt;0,L109/$B$51*100,1000000)</f>
        <v>40.9164817927005</v>
      </c>
      <c r="R109" s="16">
        <f>IF(ABS(E109+F109+G109-$B$47)&gt;0.005,1,0)</f>
        <v>0</v>
      </c>
      <c r="S109" s="16">
        <f>IF($B$45&gt;$B$46,1,0)</f>
        <v>0</v>
      </c>
      <c r="T109" s="16">
        <f>IF($B$48&gt;$B$34,1,0)</f>
        <v>0</v>
      </c>
      <c r="U109" s="16">
        <f>IF(Q109&gt;$B$35,1,0)</f>
        <v>0</v>
      </c>
      <c r="V109" s="16">
        <f>IF((F109+G109)*$B$37&gt;$B$47*$B$36,1,0)</f>
        <v>1</v>
      </c>
      <c r="W109" s="16">
        <f>IF($B$39&gt;$B$38,1,0)</f>
        <v>0</v>
      </c>
      <c r="X109" s="16">
        <f>IF(Q109&gt;$B$55,1,0)</f>
        <v>0</v>
      </c>
      <c r="Y109" s="16">
        <f>IF($B$48&gt;$B$56,1,0)</f>
        <v>0</v>
      </c>
      <c r="Z109" s="16">
        <f>IF(L109&gt;$B$14,1,0)</f>
        <v>0</v>
      </c>
      <c r="AA109" s="16">
        <f>IF(Q109&gt;$B$15,1,0)</f>
        <v>1</v>
      </c>
      <c r="AB109" s="16">
        <f>SUM(R109:AA109)</f>
        <v>2</v>
      </c>
      <c r="AC109" s="16">
        <f>IF(AB109=0,1,0)</f>
        <v>0</v>
      </c>
      <c r="AD109" s="16" t="str">
        <f>IF(AC109=1,SUMPRODUCT(($AC$89:$AC$154=1)*($K$89:$K$154&lt;=K109)*($M$89:$M$154&lt;=M109)*($O$89:$O$154&lt;=O109)*((($K$89:$K$154&lt;K109)+($M$89:$M$154&lt;M109)+($O$89:$O$154&lt;O109))&gt;0)),"")</f>
        <v/>
      </c>
      <c r="AE109" s="16">
        <f>IF(AC109=1,IF(AD109=0,1,0),0)</f>
        <v>0</v>
      </c>
      <c r="AF109" s="10" t="str">
        <f>IF(AC109=1,K109,"")</f>
        <v/>
      </c>
      <c r="AG109" s="10" t="str">
        <f>IF(AC109=1,M109,"")</f>
        <v/>
      </c>
      <c r="AH109" s="10" t="str">
        <f>IF(AC109=1,O109,"")</f>
        <v/>
      </c>
      <c r="AI109" s="19">
        <f>IF($C$83=$B$83,0,ROUND((K109-$B$83)/($C$83-$B$83),4))</f>
        <v>2.2583</v>
      </c>
      <c r="AJ109" s="19">
        <f>IF($C$84=$B$84,0,ROUND((M109-$B$84)/($C$84-$B$84),4))</f>
        <v>2.2584</v>
      </c>
      <c r="AK109" s="19">
        <f>IF($C$85=$B$85,0,ROUND((O109-$B$85)/($C$85-$B$85),4))</f>
        <v>1.7217</v>
      </c>
      <c r="AL109" s="20">
        <f>ROUND(($B$22*AI109+$B$23*AJ109+$B$24*AK109)/($B$22+$B$23+$B$24),9)</f>
        <v>2.09735</v>
      </c>
      <c r="AM109" s="16" t="str">
        <f>IF(AC109=1,1+COUNTIFS($AC$89:$AC$154,1,$AL$89:$AL$154,"&lt;"&amp;AL109)+COUNTIFS($AC$88:AC108,1,$AL$88:AL108,AL109),"")</f>
        <v/>
      </c>
    </row>
    <row r="110">
      <c r="A110" t="inlineStr">
        <is>
          <t>g20-0-80</t>
        </is>
      </c>
      <c r="B110" t="n">
        <v>20</v>
      </c>
      <c r="C110" t="n">
        <v>0</v>
      </c>
      <c r="D110" t="n">
        <v>80</v>
      </c>
      <c r="E110" s="10">
        <f>ROUND($B$47*B110/100,2)</f>
        <v>324000</v>
      </c>
      <c r="F110" s="10">
        <f>ROUND($B$47*C110/100,2)</f>
        <v>0</v>
      </c>
      <c r="G110" s="10">
        <f>ROUND($B$47*D110/100,2)</f>
        <v>1296000</v>
      </c>
      <c r="H110" s="10">
        <f>IF(E110&gt;0,ROUND(-PMT($B$52/1200,$B$39,E110),2),0)</f>
        <v>1622.47</v>
      </c>
      <c r="I110" s="10">
        <f>IF(F110&gt;0,ROUND(-PMT($B$53/1200,$B$39,F110),2),0)</f>
        <v>0</v>
      </c>
      <c r="J110" s="10">
        <f>IF(G110&gt;0,ROUND(-PMT($B$54/1200,$B$39,G110),2),0)</f>
        <v>6262.25</v>
      </c>
      <c r="K110" s="10">
        <f>H110+I110+J110</f>
        <v>7884.72</v>
      </c>
      <c r="L110" s="10">
        <f>IF(E110&gt;0,-PMT($B$52/1200,$B$39,E110),0)+IF(F110&gt;0,-PMT($B$53/1200,$B$39,F110),0)+IF(G110&gt;0,-PMT($B$54/1200,$B$39,G110),0)</f>
        <v>7884.71623853448</v>
      </c>
      <c r="M110" s="10">
        <f>L110*$B$39</f>
        <v>2838497.84587241</v>
      </c>
      <c r="N110" s="10">
        <f>IF(E110&gt;0,-PMT($B$52/1200,$B$39,E110),0)+IF(F110&gt;0,-PMT(($B$53+$B$40)/1200,$B$39-12,F110*((1+$B$53/1200)^$B$39-(1+$B$53/1200)^12)/((1+$B$53/1200)^$B$39-1)),0)+IF(G110&gt;0,-PMT(($B$54+$B$41)/1200,$B$39-$B$42,G110*((1+$B$54/1200)^$B$39-(1+$B$54/1200)^$B$42)/((1+$B$54/1200)^$B$39-1)),0)</f>
        <v>9259.02680725164</v>
      </c>
      <c r="O110" s="10">
        <f>N110-K110</f>
        <v>1374.30680725164</v>
      </c>
      <c r="P110" s="15">
        <f>C110+D110</f>
        <v>80</v>
      </c>
      <c r="Q110" s="15">
        <f>IF($B$51&gt;0,L110/$B$51*100,1000000)</f>
        <v>38.9368703137505</v>
      </c>
      <c r="R110" s="16">
        <f>IF(ABS(E110+F110+G110-$B$47)&gt;0.005,1,0)</f>
        <v>0</v>
      </c>
      <c r="S110" s="16">
        <f>IF($B$45&gt;$B$46,1,0)</f>
        <v>0</v>
      </c>
      <c r="T110" s="16">
        <f>IF($B$48&gt;$B$34,1,0)</f>
        <v>0</v>
      </c>
      <c r="U110" s="16">
        <f>IF(Q110&gt;$B$35,1,0)</f>
        <v>0</v>
      </c>
      <c r="V110" s="16">
        <f>IF((F110+G110)*$B$37&gt;$B$47*$B$36,1,0)</f>
        <v>1</v>
      </c>
      <c r="W110" s="16">
        <f>IF($B$39&gt;$B$38,1,0)</f>
        <v>0</v>
      </c>
      <c r="X110" s="16">
        <f>IF(Q110&gt;$B$55,1,0)</f>
        <v>0</v>
      </c>
      <c r="Y110" s="16">
        <f>IF($B$48&gt;$B$56,1,0)</f>
        <v>0</v>
      </c>
      <c r="Z110" s="16">
        <f>IF(L110&gt;$B$14,1,0)</f>
        <v>0</v>
      </c>
      <c r="AA110" s="16">
        <f>IF(Q110&gt;$B$15,1,0)</f>
        <v>0</v>
      </c>
      <c r="AB110" s="16">
        <f>SUM(R110:AA110)</f>
        <v>1</v>
      </c>
      <c r="AC110" s="16">
        <f>IF(AB110=0,1,0)</f>
        <v>0</v>
      </c>
      <c r="AD110" s="16" t="str">
        <f>IF(AC110=1,SUMPRODUCT(($AC$89:$AC$154=1)*($K$89:$K$154&lt;=K110)*($M$89:$M$154&lt;=M110)*($O$89:$O$154&lt;=O110)*((($K$89:$K$154&lt;K110)+($M$89:$M$154&lt;M110)+($O$89:$O$154&lt;O110))&gt;0)),"")</f>
        <v/>
      </c>
      <c r="AE110" s="16">
        <f>IF(AC110=1,IF(AD110=0,1,0),0)</f>
        <v>0</v>
      </c>
      <c r="AF110" s="10" t="str">
        <f>IF(AC110=1,K110,"")</f>
        <v/>
      </c>
      <c r="AG110" s="10" t="str">
        <f>IF(AC110=1,M110,"")</f>
        <v/>
      </c>
      <c r="AH110" s="10" t="str">
        <f>IF(AC110=1,O110,"")</f>
        <v/>
      </c>
      <c r="AI110" s="19">
        <f>IF($C$83=$B$83,0,ROUND((K110-$B$83)/($C$83-$B$83),4))</f>
        <v>-0.3736</v>
      </c>
      <c r="AJ110" s="19">
        <f>IF($C$84=$B$84,0,ROUND((M110-$B$84)/($C$84-$B$84),4))</f>
        <v>-0.3736</v>
      </c>
      <c r="AK110" s="19">
        <f>IF($C$85=$B$85,0,ROUND((O110-$B$85)/($C$85-$B$85),4))</f>
        <v>1.2783</v>
      </c>
      <c r="AL110" s="20">
        <f>ROUND(($B$22*AI110+$B$23*AJ110+$B$24*AK110)/($B$22+$B$23+$B$24),9)</f>
        <v>0.12197</v>
      </c>
      <c r="AM110" s="16" t="str">
        <f>IF(AC110=1,1+COUNTIFS($AC$89:$AC$154,1,$AL$89:$AL$154,"&lt;"&amp;AL110)+COUNTIFS($AC$88:AC109,1,$AL$88:AL109,AL110),"")</f>
        <v/>
      </c>
    </row>
    <row r="111">
      <c r="A111" t="inlineStr">
        <is>
          <t>g20-10-70</t>
        </is>
      </c>
      <c r="B111" t="n">
        <v>20</v>
      </c>
      <c r="C111" t="n">
        <v>10</v>
      </c>
      <c r="D111" t="n">
        <v>70</v>
      </c>
      <c r="E111" s="10">
        <f>ROUND($B$47*B111/100,2)</f>
        <v>324000</v>
      </c>
      <c r="F111" s="10">
        <f>ROUND($B$47*C111/100,2)</f>
        <v>162000</v>
      </c>
      <c r="G111" s="10">
        <f>ROUND($B$47*D111/100,2)</f>
        <v>1134000</v>
      </c>
      <c r="H111" s="10">
        <f>IF(E111&gt;0,ROUND(-PMT($B$52/1200,$B$39,E111),2),0)</f>
        <v>1622.47</v>
      </c>
      <c r="I111" s="10">
        <f>IF(F111&gt;0,ROUND(-PMT($B$53/1200,$B$39,F111),2),0)</f>
        <v>830.48</v>
      </c>
      <c r="J111" s="10">
        <f>IF(G111&gt;0,ROUND(-PMT($B$54/1200,$B$39,G111),2),0)</f>
        <v>5479.47</v>
      </c>
      <c r="K111" s="10">
        <f>H111+I111+J111</f>
        <v>7932.42</v>
      </c>
      <c r="L111" s="10">
        <f>IF(E111&gt;0,-PMT($B$52/1200,$B$39,E111),0)+IF(F111&gt;0,-PMT($B$53/1200,$B$39,F111),0)+IF(G111&gt;0,-PMT($B$54/1200,$B$39,G111),0)</f>
        <v>7932.41875384831</v>
      </c>
      <c r="M111" s="10">
        <f>L111*$B$39</f>
        <v>2855670.75138539</v>
      </c>
      <c r="N111" s="10">
        <f>IF(E111&gt;0,-PMT($B$52/1200,$B$39,E111),0)+IF(F111&gt;0,-PMT(($B$53+$B$40)/1200,$B$39-12,F111*((1+$B$53/1200)^$B$39-(1+$B$53/1200)^12)/((1+$B$53/1200)^$B$39-1)),0)+IF(G111&gt;0,-PMT(($B$54+$B$41)/1200,$B$39-$B$42,G111*((1+$B$54/1200)^$B$39-(1+$B$54/1200)^$B$42)/((1+$B$54/1200)^$B$39-1)),0)</f>
        <v>9333.97702485779</v>
      </c>
      <c r="O111" s="10">
        <f>N111-K111</f>
        <v>1401.55702485779</v>
      </c>
      <c r="P111" s="15">
        <f>C111+D111</f>
        <v>80</v>
      </c>
      <c r="Q111" s="15">
        <f>IF($B$51&gt;0,L111/$B$51*100,1000000)</f>
        <v>39.1724382906089</v>
      </c>
      <c r="R111" s="16">
        <f>IF(ABS(E111+F111+G111-$B$47)&gt;0.005,1,0)</f>
        <v>0</v>
      </c>
      <c r="S111" s="16">
        <f>IF($B$45&gt;$B$46,1,0)</f>
        <v>0</v>
      </c>
      <c r="T111" s="16">
        <f>IF($B$48&gt;$B$34,1,0)</f>
        <v>0</v>
      </c>
      <c r="U111" s="16">
        <f>IF(Q111&gt;$B$35,1,0)</f>
        <v>0</v>
      </c>
      <c r="V111" s="16">
        <f>IF((F111+G111)*$B$37&gt;$B$47*$B$36,1,0)</f>
        <v>1</v>
      </c>
      <c r="W111" s="16">
        <f>IF($B$39&gt;$B$38,1,0)</f>
        <v>0</v>
      </c>
      <c r="X111" s="16">
        <f>IF(Q111&gt;$B$55,1,0)</f>
        <v>0</v>
      </c>
      <c r="Y111" s="16">
        <f>IF($B$48&gt;$B$56,1,0)</f>
        <v>0</v>
      </c>
      <c r="Z111" s="16">
        <f>IF(L111&gt;$B$14,1,0)</f>
        <v>0</v>
      </c>
      <c r="AA111" s="16">
        <f>IF(Q111&gt;$B$15,1,0)</f>
        <v>0</v>
      </c>
      <c r="AB111" s="16">
        <f>SUM(R111:AA111)</f>
        <v>1</v>
      </c>
      <c r="AC111" s="16">
        <f>IF(AB111=0,1,0)</f>
        <v>0</v>
      </c>
      <c r="AD111" s="16" t="str">
        <f>IF(AC111=1,SUMPRODUCT(($AC$89:$AC$154=1)*($K$89:$K$154&lt;=K111)*($M$89:$M$154&lt;=M111)*($O$89:$O$154&lt;=O111)*((($K$89:$K$154&lt;K111)+($M$89:$M$154&lt;M111)+($O$89:$O$154&lt;O111))&gt;0)),"")</f>
        <v/>
      </c>
      <c r="AE111" s="16">
        <f>IF(AC111=1,IF(AD111=0,1,0),0)</f>
        <v>0</v>
      </c>
      <c r="AF111" s="10" t="str">
        <f>IF(AC111=1,K111,"")</f>
        <v/>
      </c>
      <c r="AG111" s="10" t="str">
        <f>IF(AC111=1,M111,"")</f>
        <v/>
      </c>
      <c r="AH111" s="10" t="str">
        <f>IF(AC111=1,O111,"")</f>
        <v/>
      </c>
      <c r="AI111" s="19">
        <f>IF($C$83=$B$83,0,ROUND((K111-$B$83)/($C$83-$B$83),4))</f>
        <v>-0.0604</v>
      </c>
      <c r="AJ111" s="19">
        <f>IF($C$84=$B$84,0,ROUND((M111-$B$84)/($C$84-$B$84),4))</f>
        <v>-0.0604</v>
      </c>
      <c r="AK111" s="19">
        <f>IF($C$85=$B$85,0,ROUND((O111-$B$85)/($C$85-$B$85),4))</f>
        <v>1.3073</v>
      </c>
      <c r="AL111" s="20">
        <f>ROUND(($B$22*AI111+$B$23*AJ111+$B$24*AK111)/($B$22+$B$23+$B$24),9)</f>
        <v>0.34991</v>
      </c>
      <c r="AM111" s="16" t="str">
        <f>IF(AC111=1,1+COUNTIFS($AC$89:$AC$154,1,$AL$89:$AL$154,"&lt;"&amp;AL111)+COUNTIFS($AC$88:AC110,1,$AL$88:AL110,AL111),"")</f>
        <v/>
      </c>
    </row>
    <row r="112">
      <c r="A112" t="inlineStr">
        <is>
          <t>g20-20-60</t>
        </is>
      </c>
      <c r="B112" t="n">
        <v>20</v>
      </c>
      <c r="C112" t="n">
        <v>20</v>
      </c>
      <c r="D112" t="n">
        <v>60</v>
      </c>
      <c r="E112" s="10">
        <f>ROUND($B$47*B112/100,2)</f>
        <v>324000</v>
      </c>
      <c r="F112" s="10">
        <f>ROUND($B$47*C112/100,2)</f>
        <v>324000</v>
      </c>
      <c r="G112" s="10">
        <f>ROUND($B$47*D112/100,2)</f>
        <v>972000</v>
      </c>
      <c r="H112" s="10">
        <f>IF(E112&gt;0,ROUND(-PMT($B$52/1200,$B$39,E112),2),0)</f>
        <v>1622.47</v>
      </c>
      <c r="I112" s="10">
        <f>IF(F112&gt;0,ROUND(-PMT($B$53/1200,$B$39,F112),2),0)</f>
        <v>1660.97</v>
      </c>
      <c r="J112" s="10">
        <f>IF(G112&gt;0,ROUND(-PMT($B$54/1200,$B$39,G112),2),0)</f>
        <v>4696.69</v>
      </c>
      <c r="K112" s="10">
        <f>H112+I112+J112</f>
        <v>7980.13</v>
      </c>
      <c r="L112" s="10">
        <f>IF(E112&gt;0,-PMT($B$52/1200,$B$39,E112),0)+IF(F112&gt;0,-PMT($B$53/1200,$B$39,F112),0)+IF(G112&gt;0,-PMT($B$54/1200,$B$39,G112),0)</f>
        <v>7980.12126916214</v>
      </c>
      <c r="M112" s="10">
        <f>L112*$B$39</f>
        <v>2872843.65689837</v>
      </c>
      <c r="N112" s="10">
        <f>IF(E112&gt;0,-PMT($B$52/1200,$B$39,E112),0)+IF(F112&gt;0,-PMT(($B$53+$B$40)/1200,$B$39-12,F112*((1+$B$53/1200)^$B$39-(1+$B$53/1200)^12)/((1+$B$53/1200)^$B$39-1)),0)+IF(G112&gt;0,-PMT(($B$54+$B$41)/1200,$B$39-$B$42,G112*((1+$B$54/1200)^$B$39-(1+$B$54/1200)^$B$42)/((1+$B$54/1200)^$B$39-1)),0)</f>
        <v>9408.92724246395</v>
      </c>
      <c r="O112" s="10">
        <f>N112-K112</f>
        <v>1428.79724246395</v>
      </c>
      <c r="P112" s="15">
        <f>C112+D112</f>
        <v>80</v>
      </c>
      <c r="Q112" s="15">
        <f>IF($B$51&gt;0,L112/$B$51*100,1000000)</f>
        <v>39.4080062674673</v>
      </c>
      <c r="R112" s="16">
        <f>IF(ABS(E112+F112+G112-$B$47)&gt;0.005,1,0)</f>
        <v>0</v>
      </c>
      <c r="S112" s="16">
        <f>IF($B$45&gt;$B$46,1,0)</f>
        <v>0</v>
      </c>
      <c r="T112" s="16">
        <f>IF($B$48&gt;$B$34,1,0)</f>
        <v>0</v>
      </c>
      <c r="U112" s="16">
        <f>IF(Q112&gt;$B$35,1,0)</f>
        <v>0</v>
      </c>
      <c r="V112" s="16">
        <f>IF((F112+G112)*$B$37&gt;$B$47*$B$36,1,0)</f>
        <v>1</v>
      </c>
      <c r="W112" s="16">
        <f>IF($B$39&gt;$B$38,1,0)</f>
        <v>0</v>
      </c>
      <c r="X112" s="16">
        <f>IF(Q112&gt;$B$55,1,0)</f>
        <v>0</v>
      </c>
      <c r="Y112" s="16">
        <f>IF($B$48&gt;$B$56,1,0)</f>
        <v>0</v>
      </c>
      <c r="Z112" s="16">
        <f>IF(L112&gt;$B$14,1,0)</f>
        <v>0</v>
      </c>
      <c r="AA112" s="16">
        <f>IF(Q112&gt;$B$15,1,0)</f>
        <v>0</v>
      </c>
      <c r="AB112" s="16">
        <f>SUM(R112:AA112)</f>
        <v>1</v>
      </c>
      <c r="AC112" s="16">
        <f>IF(AB112=0,1,0)</f>
        <v>0</v>
      </c>
      <c r="AD112" s="16" t="str">
        <f>IF(AC112=1,SUMPRODUCT(($AC$89:$AC$154=1)*($K$89:$K$154&lt;=K112)*($M$89:$M$154&lt;=M112)*($O$89:$O$154&lt;=O112)*((($K$89:$K$154&lt;K112)+($M$89:$M$154&lt;M112)+($O$89:$O$154&lt;O112))&gt;0)),"")</f>
        <v/>
      </c>
      <c r="AE112" s="16">
        <f>IF(AC112=1,IF(AD112=0,1,0),0)</f>
        <v>0</v>
      </c>
      <c r="AF112" s="10" t="str">
        <f>IF(AC112=1,K112,"")</f>
        <v/>
      </c>
      <c r="AG112" s="10" t="str">
        <f>IF(AC112=1,M112,"")</f>
        <v/>
      </c>
      <c r="AH112" s="10" t="str">
        <f>IF(AC112=1,O112,"")</f>
        <v/>
      </c>
      <c r="AI112" s="19">
        <f>IF($C$83=$B$83,0,ROUND((K112-$B$83)/($C$83-$B$83),4))</f>
        <v>0.2528</v>
      </c>
      <c r="AJ112" s="19">
        <f>IF($C$84=$B$84,0,ROUND((M112-$B$84)/($C$84-$B$84),4))</f>
        <v>0.2528</v>
      </c>
      <c r="AK112" s="19">
        <f>IF($C$85=$B$85,0,ROUND((O112-$B$85)/($C$85-$B$85),4))</f>
        <v>1.3363</v>
      </c>
      <c r="AL112" s="20">
        <f>ROUND(($B$22*AI112+$B$23*AJ112+$B$24*AK112)/($B$22+$B$23+$B$24),9)</f>
        <v>0.57785</v>
      </c>
      <c r="AM112" s="16" t="str">
        <f>IF(AC112=1,1+COUNTIFS($AC$89:$AC$154,1,$AL$89:$AL$154,"&lt;"&amp;AL112)+COUNTIFS($AC$88:AC111,1,$AL$88:AL111,AL112),"")</f>
        <v/>
      </c>
    </row>
    <row r="113">
      <c r="A113" t="inlineStr">
        <is>
          <t>g20-30-50</t>
        </is>
      </c>
      <c r="B113" t="n">
        <v>20</v>
      </c>
      <c r="C113" t="n">
        <v>30</v>
      </c>
      <c r="D113" t="n">
        <v>50</v>
      </c>
      <c r="E113" s="10">
        <f>ROUND($B$47*B113/100,2)</f>
        <v>324000</v>
      </c>
      <c r="F113" s="10">
        <f>ROUND($B$47*C113/100,2)</f>
        <v>486000</v>
      </c>
      <c r="G113" s="10">
        <f>ROUND($B$47*D113/100,2)</f>
        <v>810000</v>
      </c>
      <c r="H113" s="10">
        <f>IF(E113&gt;0,ROUND(-PMT($B$52/1200,$B$39,E113),2),0)</f>
        <v>1622.47</v>
      </c>
      <c r="I113" s="10">
        <f>IF(F113&gt;0,ROUND(-PMT($B$53/1200,$B$39,F113),2),0)</f>
        <v>2491.45</v>
      </c>
      <c r="J113" s="10">
        <f>IF(G113&gt;0,ROUND(-PMT($B$54/1200,$B$39,G113),2),0)</f>
        <v>3913.91</v>
      </c>
      <c r="K113" s="10">
        <f>H113+I113+J113</f>
        <v>8027.83</v>
      </c>
      <c r="L113" s="10">
        <f>IF(E113&gt;0,-PMT($B$52/1200,$B$39,E113),0)+IF(F113&gt;0,-PMT($B$53/1200,$B$39,F113),0)+IF(G113&gt;0,-PMT($B$54/1200,$B$39,G113),0)</f>
        <v>8027.82378447597</v>
      </c>
      <c r="M113" s="10">
        <f>L113*$B$39</f>
        <v>2890016.56241135</v>
      </c>
      <c r="N113" s="10">
        <f>IF(E113&gt;0,-PMT($B$52/1200,$B$39,E113),0)+IF(F113&gt;0,-PMT(($B$53+$B$40)/1200,$B$39-12,F113*((1+$B$53/1200)^$B$39-(1+$B$53/1200)^12)/((1+$B$53/1200)^$B$39-1)),0)+IF(G113&gt;0,-PMT(($B$54+$B$41)/1200,$B$39-$B$42,G113*((1+$B$54/1200)^$B$39-(1+$B$54/1200)^$B$42)/((1+$B$54/1200)^$B$39-1)),0)</f>
        <v>9483.8774600701</v>
      </c>
      <c r="O113" s="10">
        <f>N113-K113</f>
        <v>1456.0474600701</v>
      </c>
      <c r="P113" s="15">
        <f>C113+D113</f>
        <v>80</v>
      </c>
      <c r="Q113" s="15">
        <f>IF($B$51&gt;0,L113/$B$51*100,1000000)</f>
        <v>39.6435742443258</v>
      </c>
      <c r="R113" s="16">
        <f>IF(ABS(E113+F113+G113-$B$47)&gt;0.005,1,0)</f>
        <v>0</v>
      </c>
      <c r="S113" s="16">
        <f>IF($B$45&gt;$B$46,1,0)</f>
        <v>0</v>
      </c>
      <c r="T113" s="16">
        <f>IF($B$48&gt;$B$34,1,0)</f>
        <v>0</v>
      </c>
      <c r="U113" s="16">
        <f>IF(Q113&gt;$B$35,1,0)</f>
        <v>0</v>
      </c>
      <c r="V113" s="16">
        <f>IF((F113+G113)*$B$37&gt;$B$47*$B$36,1,0)</f>
        <v>1</v>
      </c>
      <c r="W113" s="16">
        <f>IF($B$39&gt;$B$38,1,0)</f>
        <v>0</v>
      </c>
      <c r="X113" s="16">
        <f>IF(Q113&gt;$B$55,1,0)</f>
        <v>0</v>
      </c>
      <c r="Y113" s="16">
        <f>IF($B$48&gt;$B$56,1,0)</f>
        <v>0</v>
      </c>
      <c r="Z113" s="16">
        <f>IF(L113&gt;$B$14,1,0)</f>
        <v>0</v>
      </c>
      <c r="AA113" s="16">
        <f>IF(Q113&gt;$B$15,1,0)</f>
        <v>0</v>
      </c>
      <c r="AB113" s="16">
        <f>SUM(R113:AA113)</f>
        <v>1</v>
      </c>
      <c r="AC113" s="16">
        <f>IF(AB113=0,1,0)</f>
        <v>0</v>
      </c>
      <c r="AD113" s="16" t="str">
        <f>IF(AC113=1,SUMPRODUCT(($AC$89:$AC$154=1)*($K$89:$K$154&lt;=K113)*($M$89:$M$154&lt;=M113)*($O$89:$O$154&lt;=O113)*((($K$89:$K$154&lt;K113)+($M$89:$M$154&lt;M113)+($O$89:$O$154&lt;O113))&gt;0)),"")</f>
        <v/>
      </c>
      <c r="AE113" s="16">
        <f>IF(AC113=1,IF(AD113=0,1,0),0)</f>
        <v>0</v>
      </c>
      <c r="AF113" s="10" t="str">
        <f>IF(AC113=1,K113,"")</f>
        <v/>
      </c>
      <c r="AG113" s="10" t="str">
        <f>IF(AC113=1,M113,"")</f>
        <v/>
      </c>
      <c r="AH113" s="10" t="str">
        <f>IF(AC113=1,O113,"")</f>
        <v/>
      </c>
      <c r="AI113" s="19">
        <f>IF($C$83=$B$83,0,ROUND((K113-$B$83)/($C$83-$B$83),4))</f>
        <v>0.566</v>
      </c>
      <c r="AJ113" s="19">
        <f>IF($C$84=$B$84,0,ROUND((M113-$B$84)/($C$84-$B$84),4))</f>
        <v>0.566</v>
      </c>
      <c r="AK113" s="19">
        <f>IF($C$85=$B$85,0,ROUND((O113-$B$85)/($C$85-$B$85),4))</f>
        <v>1.3652</v>
      </c>
      <c r="AL113" s="20">
        <f>ROUND(($B$22*AI113+$B$23*AJ113+$B$24*AK113)/($B$22+$B$23+$B$24),9)</f>
        <v>0.80576</v>
      </c>
      <c r="AM113" s="16" t="str">
        <f>IF(AC113=1,1+COUNTIFS($AC$89:$AC$154,1,$AL$89:$AL$154,"&lt;"&amp;AL113)+COUNTIFS($AC$88:AC112,1,$AL$88:AL112,AL113),"")</f>
        <v/>
      </c>
    </row>
    <row r="114">
      <c r="A114" t="inlineStr">
        <is>
          <t>g20-40-40</t>
        </is>
      </c>
      <c r="B114" t="n">
        <v>20</v>
      </c>
      <c r="C114" t="n">
        <v>40</v>
      </c>
      <c r="D114" t="n">
        <v>40</v>
      </c>
      <c r="E114" s="10">
        <f>ROUND($B$47*B114/100,2)</f>
        <v>324000</v>
      </c>
      <c r="F114" s="10">
        <f>ROUND($B$47*C114/100,2)</f>
        <v>648000</v>
      </c>
      <c r="G114" s="10">
        <f>ROUND($B$47*D114/100,2)</f>
        <v>648000</v>
      </c>
      <c r="H114" s="10">
        <f>IF(E114&gt;0,ROUND(-PMT($B$52/1200,$B$39,E114),2),0)</f>
        <v>1622.47</v>
      </c>
      <c r="I114" s="10">
        <f>IF(F114&gt;0,ROUND(-PMT($B$53/1200,$B$39,F114),2),0)</f>
        <v>3321.94</v>
      </c>
      <c r="J114" s="10">
        <f>IF(G114&gt;0,ROUND(-PMT($B$54/1200,$B$39,G114),2),0)</f>
        <v>3131.13</v>
      </c>
      <c r="K114" s="10">
        <f>H114+I114+J114</f>
        <v>8075.54</v>
      </c>
      <c r="L114" s="10">
        <f>IF(E114&gt;0,-PMT($B$52/1200,$B$39,E114),0)+IF(F114&gt;0,-PMT($B$53/1200,$B$39,F114),0)+IF(G114&gt;0,-PMT($B$54/1200,$B$39,G114),0)</f>
        <v>8075.5262997898</v>
      </c>
      <c r="M114" s="10">
        <f>L114*$B$39</f>
        <v>2907189.46792433</v>
      </c>
      <c r="N114" s="10">
        <f>IF(E114&gt;0,-PMT($B$52/1200,$B$39,E114),0)+IF(F114&gt;0,-PMT(($B$53+$B$40)/1200,$B$39-12,F114*((1+$B$53/1200)^$B$39-(1+$B$53/1200)^12)/((1+$B$53/1200)^$B$39-1)),0)+IF(G114&gt;0,-PMT(($B$54+$B$41)/1200,$B$39-$B$42,G114*((1+$B$54/1200)^$B$39-(1+$B$54/1200)^$B$42)/((1+$B$54/1200)^$B$39-1)),0)</f>
        <v>9558.82767767626</v>
      </c>
      <c r="O114" s="10">
        <f>N114-K114</f>
        <v>1483.28767767626</v>
      </c>
      <c r="P114" s="15">
        <f>C114+D114</f>
        <v>80</v>
      </c>
      <c r="Q114" s="15">
        <f>IF($B$51&gt;0,L114/$B$51*100,1000000)</f>
        <v>39.8791422211842</v>
      </c>
      <c r="R114" s="16">
        <f>IF(ABS(E114+F114+G114-$B$47)&gt;0.005,1,0)</f>
        <v>0</v>
      </c>
      <c r="S114" s="16">
        <f>IF($B$45&gt;$B$46,1,0)</f>
        <v>0</v>
      </c>
      <c r="T114" s="16">
        <f>IF($B$48&gt;$B$34,1,0)</f>
        <v>0</v>
      </c>
      <c r="U114" s="16">
        <f>IF(Q114&gt;$B$35,1,0)</f>
        <v>0</v>
      </c>
      <c r="V114" s="16">
        <f>IF((F114+G114)*$B$37&gt;$B$47*$B$36,1,0)</f>
        <v>1</v>
      </c>
      <c r="W114" s="16">
        <f>IF($B$39&gt;$B$38,1,0)</f>
        <v>0</v>
      </c>
      <c r="X114" s="16">
        <f>IF(Q114&gt;$B$55,1,0)</f>
        <v>0</v>
      </c>
      <c r="Y114" s="16">
        <f>IF($B$48&gt;$B$56,1,0)</f>
        <v>0</v>
      </c>
      <c r="Z114" s="16">
        <f>IF(L114&gt;$B$14,1,0)</f>
        <v>0</v>
      </c>
      <c r="AA114" s="16">
        <f>IF(Q114&gt;$B$15,1,0)</f>
        <v>0</v>
      </c>
      <c r="AB114" s="16">
        <f>SUM(R114:AA114)</f>
        <v>1</v>
      </c>
      <c r="AC114" s="16">
        <f>IF(AB114=0,1,0)</f>
        <v>0</v>
      </c>
      <c r="AD114" s="16" t="str">
        <f>IF(AC114=1,SUMPRODUCT(($AC$89:$AC$154=1)*($K$89:$K$154&lt;=K114)*($M$89:$M$154&lt;=M114)*($O$89:$O$154&lt;=O114)*((($K$89:$K$154&lt;K114)+($M$89:$M$154&lt;M114)+($O$89:$O$154&lt;O114))&gt;0)),"")</f>
        <v/>
      </c>
      <c r="AE114" s="16">
        <f>IF(AC114=1,IF(AD114=0,1,0),0)</f>
        <v>0</v>
      </c>
      <c r="AF114" s="10" t="str">
        <f>IF(AC114=1,K114,"")</f>
        <v/>
      </c>
      <c r="AG114" s="10" t="str">
        <f>IF(AC114=1,M114,"")</f>
        <v/>
      </c>
      <c r="AH114" s="10" t="str">
        <f>IF(AC114=1,O114,"")</f>
        <v/>
      </c>
      <c r="AI114" s="19">
        <f>IF($C$83=$B$83,0,ROUND((K114-$B$83)/($C$83-$B$83),4))</f>
        <v>0.8793</v>
      </c>
      <c r="AJ114" s="19">
        <f>IF($C$84=$B$84,0,ROUND((M114-$B$84)/($C$84-$B$84),4))</f>
        <v>0.8792</v>
      </c>
      <c r="AK114" s="19">
        <f>IF($C$85=$B$85,0,ROUND((O114-$B$85)/($C$85-$B$85),4))</f>
        <v>1.3942</v>
      </c>
      <c r="AL114" s="20">
        <f>ROUND(($B$22*AI114+$B$23*AJ114+$B$24*AK114)/($B$22+$B$23+$B$24),9)</f>
        <v>1.03374</v>
      </c>
      <c r="AM114" s="16" t="str">
        <f>IF(AC114=1,1+COUNTIFS($AC$89:$AC$154,1,$AL$89:$AL$154,"&lt;"&amp;AL114)+COUNTIFS($AC$88:AC113,1,$AL$88:AL113,AL114),"")</f>
        <v/>
      </c>
    </row>
    <row r="115">
      <c r="A115" t="inlineStr">
        <is>
          <t>g20-50-30</t>
        </is>
      </c>
      <c r="B115" t="n">
        <v>20</v>
      </c>
      <c r="C115" t="n">
        <v>50</v>
      </c>
      <c r="D115" t="n">
        <v>30</v>
      </c>
      <c r="E115" s="10">
        <f>ROUND($B$47*B115/100,2)</f>
        <v>324000</v>
      </c>
      <c r="F115" s="10">
        <f>ROUND($B$47*C115/100,2)</f>
        <v>810000</v>
      </c>
      <c r="G115" s="10">
        <f>ROUND($B$47*D115/100,2)</f>
        <v>486000</v>
      </c>
      <c r="H115" s="10">
        <f>IF(E115&gt;0,ROUND(-PMT($B$52/1200,$B$39,E115),2),0)</f>
        <v>1622.47</v>
      </c>
      <c r="I115" s="10">
        <f>IF(F115&gt;0,ROUND(-PMT($B$53/1200,$B$39,F115),2),0)</f>
        <v>4152.42</v>
      </c>
      <c r="J115" s="10">
        <f>IF(G115&gt;0,ROUND(-PMT($B$54/1200,$B$39,G115),2),0)</f>
        <v>2348.34</v>
      </c>
      <c r="K115" s="10">
        <f>H115+I115+J115</f>
        <v>8123.23</v>
      </c>
      <c r="L115" s="10">
        <f>IF(E115&gt;0,-PMT($B$52/1200,$B$39,E115),0)+IF(F115&gt;0,-PMT($B$53/1200,$B$39,F115),0)+IF(G115&gt;0,-PMT($B$54/1200,$B$39,G115),0)</f>
        <v>8123.22881510363</v>
      </c>
      <c r="M115" s="10">
        <f>L115*$B$39</f>
        <v>2924362.37343731</v>
      </c>
      <c r="N115" s="10">
        <f>IF(E115&gt;0,-PMT($B$52/1200,$B$39,E115),0)+IF(F115&gt;0,-PMT(($B$53+$B$40)/1200,$B$39-12,F115*((1+$B$53/1200)^$B$39-(1+$B$53/1200)^12)/((1+$B$53/1200)^$B$39-1)),0)+IF(G115&gt;0,-PMT(($B$54+$B$41)/1200,$B$39-$B$42,G115*((1+$B$54/1200)^$B$39-(1+$B$54/1200)^$B$42)/((1+$B$54/1200)^$B$39-1)),0)</f>
        <v>9633.77789528241</v>
      </c>
      <c r="O115" s="10">
        <f>N115-K115</f>
        <v>1510.54789528241</v>
      </c>
      <c r="P115" s="15">
        <f>C115+D115</f>
        <v>80</v>
      </c>
      <c r="Q115" s="15">
        <f>IF($B$51&gt;0,L115/$B$51*100,1000000)</f>
        <v>40.1147101980426</v>
      </c>
      <c r="R115" s="16">
        <f>IF(ABS(E115+F115+G115-$B$47)&gt;0.005,1,0)</f>
        <v>0</v>
      </c>
      <c r="S115" s="16">
        <f>IF($B$45&gt;$B$46,1,0)</f>
        <v>0</v>
      </c>
      <c r="T115" s="16">
        <f>IF($B$48&gt;$B$34,1,0)</f>
        <v>0</v>
      </c>
      <c r="U115" s="16">
        <f>IF(Q115&gt;$B$35,1,0)</f>
        <v>0</v>
      </c>
      <c r="V115" s="16">
        <f>IF((F115+G115)*$B$37&gt;$B$47*$B$36,1,0)</f>
        <v>1</v>
      </c>
      <c r="W115" s="16">
        <f>IF($B$39&gt;$B$38,1,0)</f>
        <v>0</v>
      </c>
      <c r="X115" s="16">
        <f>IF(Q115&gt;$B$55,1,0)</f>
        <v>0</v>
      </c>
      <c r="Y115" s="16">
        <f>IF($B$48&gt;$B$56,1,0)</f>
        <v>0</v>
      </c>
      <c r="Z115" s="16">
        <f>IF(L115&gt;$B$14,1,0)</f>
        <v>0</v>
      </c>
      <c r="AA115" s="16">
        <f>IF(Q115&gt;$B$15,1,0)</f>
        <v>1</v>
      </c>
      <c r="AB115" s="16">
        <f>SUM(R115:AA115)</f>
        <v>2</v>
      </c>
      <c r="AC115" s="16">
        <f>IF(AB115=0,1,0)</f>
        <v>0</v>
      </c>
      <c r="AD115" s="16" t="str">
        <f>IF(AC115=1,SUMPRODUCT(($AC$89:$AC$154=1)*($K$89:$K$154&lt;=K115)*($M$89:$M$154&lt;=M115)*($O$89:$O$154&lt;=O115)*((($K$89:$K$154&lt;K115)+($M$89:$M$154&lt;M115)+($O$89:$O$154&lt;O115))&gt;0)),"")</f>
        <v/>
      </c>
      <c r="AE115" s="16">
        <f>IF(AC115=1,IF(AD115=0,1,0),0)</f>
        <v>0</v>
      </c>
      <c r="AF115" s="10" t="str">
        <f>IF(AC115=1,K115,"")</f>
        <v/>
      </c>
      <c r="AG115" s="10" t="str">
        <f>IF(AC115=1,M115,"")</f>
        <v/>
      </c>
      <c r="AH115" s="10" t="str">
        <f>IF(AC115=1,O115,"")</f>
        <v/>
      </c>
      <c r="AI115" s="19">
        <f>IF($C$83=$B$83,0,ROUND((K115-$B$83)/($C$83-$B$83),4))</f>
        <v>1.1924</v>
      </c>
      <c r="AJ115" s="19">
        <f>IF($C$84=$B$84,0,ROUND((M115-$B$84)/($C$84-$B$84),4))</f>
        <v>1.1924</v>
      </c>
      <c r="AK115" s="19">
        <f>IF($C$85=$B$85,0,ROUND((O115-$B$85)/($C$85-$B$85),4))</f>
        <v>1.4232</v>
      </c>
      <c r="AL115" s="20">
        <f>ROUND(($B$22*AI115+$B$23*AJ115+$B$24*AK115)/($B$22+$B$23+$B$24),9)</f>
        <v>1.26164</v>
      </c>
      <c r="AM115" s="16" t="str">
        <f>IF(AC115=1,1+COUNTIFS($AC$89:$AC$154,1,$AL$89:$AL$154,"&lt;"&amp;AL115)+COUNTIFS($AC$88:AC114,1,$AL$88:AL114,AL115),"")</f>
        <v/>
      </c>
    </row>
    <row r="116">
      <c r="A116" t="inlineStr">
        <is>
          <t>g20-60-20</t>
        </is>
      </c>
      <c r="B116" t="n">
        <v>20</v>
      </c>
      <c r="C116" t="n">
        <v>60</v>
      </c>
      <c r="D116" t="n">
        <v>20</v>
      </c>
      <c r="E116" s="10">
        <f>ROUND($B$47*B116/100,2)</f>
        <v>324000</v>
      </c>
      <c r="F116" s="10">
        <f>ROUND($B$47*C116/100,2)</f>
        <v>972000</v>
      </c>
      <c r="G116" s="10">
        <f>ROUND($B$47*D116/100,2)</f>
        <v>324000</v>
      </c>
      <c r="H116" s="10">
        <f>IF(E116&gt;0,ROUND(-PMT($B$52/1200,$B$39,E116),2),0)</f>
        <v>1622.47</v>
      </c>
      <c r="I116" s="10">
        <f>IF(F116&gt;0,ROUND(-PMT($B$53/1200,$B$39,F116),2),0)</f>
        <v>4982.9</v>
      </c>
      <c r="J116" s="10">
        <f>IF(G116&gt;0,ROUND(-PMT($B$54/1200,$B$39,G116),2),0)</f>
        <v>1565.56</v>
      </c>
      <c r="K116" s="10">
        <f>H116+I116+J116</f>
        <v>8170.93</v>
      </c>
      <c r="L116" s="10">
        <f>IF(E116&gt;0,-PMT($B$52/1200,$B$39,E116),0)+IF(F116&gt;0,-PMT($B$53/1200,$B$39,F116),0)+IF(G116&gt;0,-PMT($B$54/1200,$B$39,G116),0)</f>
        <v>8170.93133041746</v>
      </c>
      <c r="M116" s="10">
        <f>L116*$B$39</f>
        <v>2941535.27895028</v>
      </c>
      <c r="N116" s="10">
        <f>IF(E116&gt;0,-PMT($B$52/1200,$B$39,E116),0)+IF(F116&gt;0,-PMT(($B$53+$B$40)/1200,$B$39-12,F116*((1+$B$53/1200)^$B$39-(1+$B$53/1200)^12)/((1+$B$53/1200)^$B$39-1)),0)+IF(G116&gt;0,-PMT(($B$54+$B$41)/1200,$B$39-$B$42,G116*((1+$B$54/1200)^$B$39-(1+$B$54/1200)^$B$42)/((1+$B$54/1200)^$B$39-1)),0)</f>
        <v>9708.72811288857</v>
      </c>
      <c r="O116" s="10">
        <f>N116-K116</f>
        <v>1537.79811288857</v>
      </c>
      <c r="P116" s="15">
        <f>C116+D116</f>
        <v>80</v>
      </c>
      <c r="Q116" s="15">
        <f>IF($B$51&gt;0,L116/$B$51*100,1000000)</f>
        <v>40.350278174901</v>
      </c>
      <c r="R116" s="16">
        <f>IF(ABS(E116+F116+G116-$B$47)&gt;0.005,1,0)</f>
        <v>0</v>
      </c>
      <c r="S116" s="16">
        <f>IF($B$45&gt;$B$46,1,0)</f>
        <v>0</v>
      </c>
      <c r="T116" s="16">
        <f>IF($B$48&gt;$B$34,1,0)</f>
        <v>0</v>
      </c>
      <c r="U116" s="16">
        <f>IF(Q116&gt;$B$35,1,0)</f>
        <v>0</v>
      </c>
      <c r="V116" s="16">
        <f>IF((F116+G116)*$B$37&gt;$B$47*$B$36,1,0)</f>
        <v>1</v>
      </c>
      <c r="W116" s="16">
        <f>IF($B$39&gt;$B$38,1,0)</f>
        <v>0</v>
      </c>
      <c r="X116" s="16">
        <f>IF(Q116&gt;$B$55,1,0)</f>
        <v>0</v>
      </c>
      <c r="Y116" s="16">
        <f>IF($B$48&gt;$B$56,1,0)</f>
        <v>0</v>
      </c>
      <c r="Z116" s="16">
        <f>IF(L116&gt;$B$14,1,0)</f>
        <v>0</v>
      </c>
      <c r="AA116" s="16">
        <f>IF(Q116&gt;$B$15,1,0)</f>
        <v>1</v>
      </c>
      <c r="AB116" s="16">
        <f>SUM(R116:AA116)</f>
        <v>2</v>
      </c>
      <c r="AC116" s="16">
        <f>IF(AB116=0,1,0)</f>
        <v>0</v>
      </c>
      <c r="AD116" s="16" t="str">
        <f>IF(AC116=1,SUMPRODUCT(($AC$89:$AC$154=1)*($K$89:$K$154&lt;=K116)*($M$89:$M$154&lt;=M116)*($O$89:$O$154&lt;=O116)*((($K$89:$K$154&lt;K116)+($M$89:$M$154&lt;M116)+($O$89:$O$154&lt;O116))&gt;0)),"")</f>
        <v/>
      </c>
      <c r="AE116" s="16">
        <f>IF(AC116=1,IF(AD116=0,1,0),0)</f>
        <v>0</v>
      </c>
      <c r="AF116" s="10" t="str">
        <f>IF(AC116=1,K116,"")</f>
        <v/>
      </c>
      <c r="AG116" s="10" t="str">
        <f>IF(AC116=1,M116,"")</f>
        <v/>
      </c>
      <c r="AH116" s="10" t="str">
        <f>IF(AC116=1,O116,"")</f>
        <v/>
      </c>
      <c r="AI116" s="19">
        <f>IF($C$83=$B$83,0,ROUND((K116-$B$83)/($C$83-$B$83),4))</f>
        <v>1.5055</v>
      </c>
      <c r="AJ116" s="19">
        <f>IF($C$84=$B$84,0,ROUND((M116-$B$84)/($C$84-$B$84),4))</f>
        <v>1.5056</v>
      </c>
      <c r="AK116" s="19">
        <f>IF($C$85=$B$85,0,ROUND((O116-$B$85)/($C$85-$B$85),4))</f>
        <v>1.4521</v>
      </c>
      <c r="AL116" s="20">
        <f>ROUND(($B$22*AI116+$B$23*AJ116+$B$24*AK116)/($B$22+$B$23+$B$24),9)</f>
        <v>1.48951</v>
      </c>
      <c r="AM116" s="16" t="str">
        <f>IF(AC116=1,1+COUNTIFS($AC$89:$AC$154,1,$AL$89:$AL$154,"&lt;"&amp;AL116)+COUNTIFS($AC$88:AC115,1,$AL$88:AL115,AL116),"")</f>
        <v/>
      </c>
    </row>
    <row r="117">
      <c r="A117" t="inlineStr">
        <is>
          <t>g20-70-10</t>
        </is>
      </c>
      <c r="B117" t="n">
        <v>20</v>
      </c>
      <c r="C117" t="n">
        <v>70</v>
      </c>
      <c r="D117" t="n">
        <v>10</v>
      </c>
      <c r="E117" s="10">
        <f>ROUND($B$47*B117/100,2)</f>
        <v>324000</v>
      </c>
      <c r="F117" s="10">
        <f>ROUND($B$47*C117/100,2)</f>
        <v>1134000</v>
      </c>
      <c r="G117" s="10">
        <f>ROUND($B$47*D117/100,2)</f>
        <v>162000</v>
      </c>
      <c r="H117" s="10">
        <f>IF(E117&gt;0,ROUND(-PMT($B$52/1200,$B$39,E117),2),0)</f>
        <v>1622.47</v>
      </c>
      <c r="I117" s="10">
        <f>IF(F117&gt;0,ROUND(-PMT($B$53/1200,$B$39,F117),2),0)</f>
        <v>5813.39</v>
      </c>
      <c r="J117" s="10">
        <f>IF(G117&gt;0,ROUND(-PMT($B$54/1200,$B$39,G117),2),0)</f>
        <v>782.78</v>
      </c>
      <c r="K117" s="10">
        <f>H117+I117+J117</f>
        <v>8218.64</v>
      </c>
      <c r="L117" s="10">
        <f>IF(E117&gt;0,-PMT($B$52/1200,$B$39,E117),0)+IF(F117&gt;0,-PMT($B$53/1200,$B$39,F117),0)+IF(G117&gt;0,-PMT($B$54/1200,$B$39,G117),0)</f>
        <v>8218.63384573129</v>
      </c>
      <c r="M117" s="10">
        <f>L117*$B$39</f>
        <v>2958708.18446326</v>
      </c>
      <c r="N117" s="10">
        <f>IF(E117&gt;0,-PMT($B$52/1200,$B$39,E117),0)+IF(F117&gt;0,-PMT(($B$53+$B$40)/1200,$B$39-12,F117*((1+$B$53/1200)^$B$39-(1+$B$53/1200)^12)/((1+$B$53/1200)^$B$39-1)),0)+IF(G117&gt;0,-PMT(($B$54+$B$41)/1200,$B$39-$B$42,G117*((1+$B$54/1200)^$B$39-(1+$B$54/1200)^$B$42)/((1+$B$54/1200)^$B$39-1)),0)</f>
        <v>9783.67833049472</v>
      </c>
      <c r="O117" s="10">
        <f>N117-K117</f>
        <v>1565.03833049472</v>
      </c>
      <c r="P117" s="15">
        <f>C117+D117</f>
        <v>80</v>
      </c>
      <c r="Q117" s="15">
        <f>IF($B$51&gt;0,L117/$B$51*100,1000000)</f>
        <v>40.5858461517594</v>
      </c>
      <c r="R117" s="16">
        <f>IF(ABS(E117+F117+G117-$B$47)&gt;0.005,1,0)</f>
        <v>0</v>
      </c>
      <c r="S117" s="16">
        <f>IF($B$45&gt;$B$46,1,0)</f>
        <v>0</v>
      </c>
      <c r="T117" s="16">
        <f>IF($B$48&gt;$B$34,1,0)</f>
        <v>0</v>
      </c>
      <c r="U117" s="16">
        <f>IF(Q117&gt;$B$35,1,0)</f>
        <v>0</v>
      </c>
      <c r="V117" s="16">
        <f>IF((F117+G117)*$B$37&gt;$B$47*$B$36,1,0)</f>
        <v>1</v>
      </c>
      <c r="W117" s="16">
        <f>IF($B$39&gt;$B$38,1,0)</f>
        <v>0</v>
      </c>
      <c r="X117" s="16">
        <f>IF(Q117&gt;$B$55,1,0)</f>
        <v>0</v>
      </c>
      <c r="Y117" s="16">
        <f>IF($B$48&gt;$B$56,1,0)</f>
        <v>0</v>
      </c>
      <c r="Z117" s="16">
        <f>IF(L117&gt;$B$14,1,0)</f>
        <v>0</v>
      </c>
      <c r="AA117" s="16">
        <f>IF(Q117&gt;$B$15,1,0)</f>
        <v>1</v>
      </c>
      <c r="AB117" s="16">
        <f>SUM(R117:AA117)</f>
        <v>2</v>
      </c>
      <c r="AC117" s="16">
        <f>IF(AB117=0,1,0)</f>
        <v>0</v>
      </c>
      <c r="AD117" s="16" t="str">
        <f>IF(AC117=1,SUMPRODUCT(($AC$89:$AC$154=1)*($K$89:$K$154&lt;=K117)*($M$89:$M$154&lt;=M117)*($O$89:$O$154&lt;=O117)*((($K$89:$K$154&lt;K117)+($M$89:$M$154&lt;M117)+($O$89:$O$154&lt;O117))&gt;0)),"")</f>
        <v/>
      </c>
      <c r="AE117" s="16">
        <f>IF(AC117=1,IF(AD117=0,1,0),0)</f>
        <v>0</v>
      </c>
      <c r="AF117" s="10" t="str">
        <f>IF(AC117=1,K117,"")</f>
        <v/>
      </c>
      <c r="AG117" s="10" t="str">
        <f>IF(AC117=1,M117,"")</f>
        <v/>
      </c>
      <c r="AH117" s="10" t="str">
        <f>IF(AC117=1,O117,"")</f>
        <v/>
      </c>
      <c r="AI117" s="19">
        <f>IF($C$83=$B$83,0,ROUND((K117-$B$83)/($C$83-$B$83),4))</f>
        <v>1.8188</v>
      </c>
      <c r="AJ117" s="19">
        <f>IF($C$84=$B$84,0,ROUND((M117-$B$84)/($C$84-$B$84),4))</f>
        <v>1.8188</v>
      </c>
      <c r="AK117" s="19">
        <f>IF($C$85=$B$85,0,ROUND((O117-$B$85)/($C$85-$B$85),4))</f>
        <v>1.4811</v>
      </c>
      <c r="AL117" s="20">
        <f>ROUND(($B$22*AI117+$B$23*AJ117+$B$24*AK117)/($B$22+$B$23+$B$24),9)</f>
        <v>1.71749</v>
      </c>
      <c r="AM117" s="16" t="str">
        <f>IF(AC117=1,1+COUNTIFS($AC$89:$AC$154,1,$AL$89:$AL$154,"&lt;"&amp;AL117)+COUNTIFS($AC$88:AC116,1,$AL$88:AL116,AL117),"")</f>
        <v/>
      </c>
    </row>
    <row r="118">
      <c r="A118" t="inlineStr">
        <is>
          <t>g20-80-0</t>
        </is>
      </c>
      <c r="B118" t="n">
        <v>20</v>
      </c>
      <c r="C118" t="n">
        <v>80</v>
      </c>
      <c r="D118" t="n">
        <v>0</v>
      </c>
      <c r="E118" s="10">
        <f>ROUND($B$47*B118/100,2)</f>
        <v>324000</v>
      </c>
      <c r="F118" s="10">
        <f>ROUND($B$47*C118/100,2)</f>
        <v>1296000</v>
      </c>
      <c r="G118" s="10">
        <f>ROUND($B$47*D118/100,2)</f>
        <v>0</v>
      </c>
      <c r="H118" s="10">
        <f>IF(E118&gt;0,ROUND(-PMT($B$52/1200,$B$39,E118),2),0)</f>
        <v>1622.47</v>
      </c>
      <c r="I118" s="10">
        <f>IF(F118&gt;0,ROUND(-PMT($B$53/1200,$B$39,F118),2),0)</f>
        <v>6643.87</v>
      </c>
      <c r="J118" s="10">
        <f>IF(G118&gt;0,ROUND(-PMT($B$54/1200,$B$39,G118),2),0)</f>
        <v>0</v>
      </c>
      <c r="K118" s="10">
        <f>H118+I118+J118</f>
        <v>8266.34</v>
      </c>
      <c r="L118" s="10">
        <f>IF(E118&gt;0,-PMT($B$52/1200,$B$39,E118),0)+IF(F118&gt;0,-PMT($B$53/1200,$B$39,F118),0)+IF(G118&gt;0,-PMT($B$54/1200,$B$39,G118),0)</f>
        <v>8266.33636104511</v>
      </c>
      <c r="M118" s="10">
        <f>L118*$B$39</f>
        <v>2975881.08997624</v>
      </c>
      <c r="N118" s="10">
        <f>IF(E118&gt;0,-PMT($B$52/1200,$B$39,E118),0)+IF(F118&gt;0,-PMT(($B$53+$B$40)/1200,$B$39-12,F118*((1+$B$53/1200)^$B$39-(1+$B$53/1200)^12)/((1+$B$53/1200)^$B$39-1)),0)+IF(G118&gt;0,-PMT(($B$54+$B$41)/1200,$B$39-$B$42,G118*((1+$B$54/1200)^$B$39-(1+$B$54/1200)^$B$42)/((1+$B$54/1200)^$B$39-1)),0)</f>
        <v>9858.62854810088</v>
      </c>
      <c r="O118" s="10">
        <f>N118-K118</f>
        <v>1592.28854810088</v>
      </c>
      <c r="P118" s="15">
        <f>C118+D118</f>
        <v>80</v>
      </c>
      <c r="Q118" s="15">
        <f>IF($B$51&gt;0,L118/$B$51*100,1000000)</f>
        <v>40.8214141286178</v>
      </c>
      <c r="R118" s="16">
        <f>IF(ABS(E118+F118+G118-$B$47)&gt;0.005,1,0)</f>
        <v>0</v>
      </c>
      <c r="S118" s="16">
        <f>IF($B$45&gt;$B$46,1,0)</f>
        <v>0</v>
      </c>
      <c r="T118" s="16">
        <f>IF($B$48&gt;$B$34,1,0)</f>
        <v>0</v>
      </c>
      <c r="U118" s="16">
        <f>IF(Q118&gt;$B$35,1,0)</f>
        <v>0</v>
      </c>
      <c r="V118" s="16">
        <f>IF((F118+G118)*$B$37&gt;$B$47*$B$36,1,0)</f>
        <v>1</v>
      </c>
      <c r="W118" s="16">
        <f>IF($B$39&gt;$B$38,1,0)</f>
        <v>0</v>
      </c>
      <c r="X118" s="16">
        <f>IF(Q118&gt;$B$55,1,0)</f>
        <v>0</v>
      </c>
      <c r="Y118" s="16">
        <f>IF($B$48&gt;$B$56,1,0)</f>
        <v>0</v>
      </c>
      <c r="Z118" s="16">
        <f>IF(L118&gt;$B$14,1,0)</f>
        <v>0</v>
      </c>
      <c r="AA118" s="16">
        <f>IF(Q118&gt;$B$15,1,0)</f>
        <v>1</v>
      </c>
      <c r="AB118" s="16">
        <f>SUM(R118:AA118)</f>
        <v>2</v>
      </c>
      <c r="AC118" s="16">
        <f>IF(AB118=0,1,0)</f>
        <v>0</v>
      </c>
      <c r="AD118" s="16" t="str">
        <f>IF(AC118=1,SUMPRODUCT(($AC$89:$AC$154=1)*($K$89:$K$154&lt;=K118)*($M$89:$M$154&lt;=M118)*($O$89:$O$154&lt;=O118)*((($K$89:$K$154&lt;K118)+($M$89:$M$154&lt;M118)+($O$89:$O$154&lt;O118))&gt;0)),"")</f>
        <v/>
      </c>
      <c r="AE118" s="16">
        <f>IF(AC118=1,IF(AD118=0,1,0),0)</f>
        <v>0</v>
      </c>
      <c r="AF118" s="10" t="str">
        <f>IF(AC118=1,K118,"")</f>
        <v/>
      </c>
      <c r="AG118" s="10" t="str">
        <f>IF(AC118=1,M118,"")</f>
        <v/>
      </c>
      <c r="AH118" s="10" t="str">
        <f>IF(AC118=1,O118,"")</f>
        <v/>
      </c>
      <c r="AI118" s="19">
        <f>IF($C$83=$B$83,0,ROUND((K118-$B$83)/($C$83-$B$83),4))</f>
        <v>2.132</v>
      </c>
      <c r="AJ118" s="19">
        <f>IF($C$84=$B$84,0,ROUND((M118-$B$84)/($C$84-$B$84),4))</f>
        <v>2.132</v>
      </c>
      <c r="AK118" s="19">
        <f>IF($C$85=$B$85,0,ROUND((O118-$B$85)/($C$85-$B$85),4))</f>
        <v>1.5101</v>
      </c>
      <c r="AL118" s="20">
        <f>ROUND(($B$22*AI118+$B$23*AJ118+$B$24*AK118)/($B$22+$B$23+$B$24),9)</f>
        <v>1.94543</v>
      </c>
      <c r="AM118" s="16" t="str">
        <f>IF(AC118=1,1+COUNTIFS($AC$89:$AC$154,1,$AL$89:$AL$154,"&lt;"&amp;AL118)+COUNTIFS($AC$88:AC117,1,$AL$88:AL117,AL118),"")</f>
        <v/>
      </c>
    </row>
    <row r="119">
      <c r="A119" t="inlineStr">
        <is>
          <t>g30-0-70</t>
        </is>
      </c>
      <c r="B119" t="n">
        <v>30</v>
      </c>
      <c r="C119" t="n">
        <v>0</v>
      </c>
      <c r="D119" t="n">
        <v>70</v>
      </c>
      <c r="E119" s="10">
        <f>ROUND($B$47*B119/100,2)</f>
        <v>486000</v>
      </c>
      <c r="F119" s="10">
        <f>ROUND($B$47*C119/100,2)</f>
        <v>0</v>
      </c>
      <c r="G119" s="10">
        <f>ROUND($B$47*D119/100,2)</f>
        <v>1134000</v>
      </c>
      <c r="H119" s="10">
        <f>IF(E119&gt;0,ROUND(-PMT($B$52/1200,$B$39,E119),2),0)</f>
        <v>2433.7</v>
      </c>
      <c r="I119" s="10">
        <f>IF(F119&gt;0,ROUND(-PMT($B$53/1200,$B$39,F119),2),0)</f>
        <v>0</v>
      </c>
      <c r="J119" s="10">
        <f>IF(G119&gt;0,ROUND(-PMT($B$54/1200,$B$39,G119),2),0)</f>
        <v>5479.47</v>
      </c>
      <c r="K119" s="10">
        <f>H119+I119+J119</f>
        <v>7913.17</v>
      </c>
      <c r="L119" s="10">
        <f>IF(E119&gt;0,-PMT($B$52/1200,$B$39,E119),0)+IF(F119&gt;0,-PMT($B$53/1200,$B$39,F119),0)+IF(G119&gt;0,-PMT($B$54/1200,$B$39,G119),0)</f>
        <v>7913.16755187157</v>
      </c>
      <c r="M119" s="10">
        <f>L119*$B$39</f>
        <v>2848740.31867376</v>
      </c>
      <c r="N119" s="10">
        <f>IF(E119&gt;0,-PMT($B$52/1200,$B$39,E119),0)+IF(F119&gt;0,-PMT(($B$53+$B$40)/1200,$B$39-12,F119*((1+$B$53/1200)^$B$39-(1+$B$53/1200)^12)/((1+$B$53/1200)^$B$39-1)),0)+IF(G119&gt;0,-PMT(($B$54+$B$41)/1200,$B$39-$B$42,G119*((1+$B$54/1200)^$B$39-(1+$B$54/1200)^$B$42)/((1+$B$54/1200)^$B$39-1)),0)</f>
        <v>9115.68929949908</v>
      </c>
      <c r="O119" s="10">
        <f>N119-K119</f>
        <v>1202.51929949908</v>
      </c>
      <c r="P119" s="15">
        <f>C119+D119</f>
        <v>70</v>
      </c>
      <c r="Q119" s="15">
        <f>IF($B$51&gt;0,L119/$B$51*100,1000000)</f>
        <v>39.0773706265263</v>
      </c>
      <c r="R119" s="16">
        <f>IF(ABS(E119+F119+G119-$B$47)&gt;0.005,1,0)</f>
        <v>0</v>
      </c>
      <c r="S119" s="16">
        <f>IF($B$45&gt;$B$46,1,0)</f>
        <v>0</v>
      </c>
      <c r="T119" s="16">
        <f>IF($B$48&gt;$B$34,1,0)</f>
        <v>0</v>
      </c>
      <c r="U119" s="16">
        <f>IF(Q119&gt;$B$35,1,0)</f>
        <v>0</v>
      </c>
      <c r="V119" s="16">
        <f>IF((F119+G119)*$B$37&gt;$B$47*$B$36,1,0)</f>
        <v>1</v>
      </c>
      <c r="W119" s="16">
        <f>IF($B$39&gt;$B$38,1,0)</f>
        <v>0</v>
      </c>
      <c r="X119" s="16">
        <f>IF(Q119&gt;$B$55,1,0)</f>
        <v>0</v>
      </c>
      <c r="Y119" s="16">
        <f>IF($B$48&gt;$B$56,1,0)</f>
        <v>0</v>
      </c>
      <c r="Z119" s="16">
        <f>IF(L119&gt;$B$14,1,0)</f>
        <v>0</v>
      </c>
      <c r="AA119" s="16">
        <f>IF(Q119&gt;$B$15,1,0)</f>
        <v>0</v>
      </c>
      <c r="AB119" s="16">
        <f>SUM(R119:AA119)</f>
        <v>1</v>
      </c>
      <c r="AC119" s="16">
        <f>IF(AB119=0,1,0)</f>
        <v>0</v>
      </c>
      <c r="AD119" s="16" t="str">
        <f>IF(AC119=1,SUMPRODUCT(($AC$89:$AC$154=1)*($K$89:$K$154&lt;=K119)*($M$89:$M$154&lt;=M119)*($O$89:$O$154&lt;=O119)*((($K$89:$K$154&lt;K119)+($M$89:$M$154&lt;M119)+($O$89:$O$154&lt;O119))&gt;0)),"")</f>
        <v/>
      </c>
      <c r="AE119" s="16">
        <f>IF(AC119=1,IF(AD119=0,1,0),0)</f>
        <v>0</v>
      </c>
      <c r="AF119" s="10" t="str">
        <f>IF(AC119=1,K119,"")</f>
        <v/>
      </c>
      <c r="AG119" s="10" t="str">
        <f>IF(AC119=1,M119,"")</f>
        <v/>
      </c>
      <c r="AH119" s="10" t="str">
        <f>IF(AC119=1,O119,"")</f>
        <v/>
      </c>
      <c r="AI119" s="19">
        <f>IF($C$83=$B$83,0,ROUND((K119-$B$83)/($C$83-$B$83),4))</f>
        <v>-0.1868</v>
      </c>
      <c r="AJ119" s="19">
        <f>IF($C$84=$B$84,0,ROUND((M119-$B$84)/($C$84-$B$84),4))</f>
        <v>-0.1868</v>
      </c>
      <c r="AK119" s="19">
        <f>IF($C$85=$B$85,0,ROUND((O119-$B$85)/($C$85-$B$85),4))</f>
        <v>1.0957</v>
      </c>
      <c r="AL119" s="20">
        <f>ROUND(($B$22*AI119+$B$23*AJ119+$B$24*AK119)/($B$22+$B$23+$B$24),9)</f>
        <v>0.19795</v>
      </c>
      <c r="AM119" s="16" t="str">
        <f>IF(AC119=1,1+COUNTIFS($AC$89:$AC$154,1,$AL$89:$AL$154,"&lt;"&amp;AL119)+COUNTIFS($AC$88:AC118,1,$AL$88:AL118,AL119),"")</f>
        <v/>
      </c>
    </row>
    <row r="120">
      <c r="A120" t="inlineStr">
        <is>
          <t>g30-10-60</t>
        </is>
      </c>
      <c r="B120" t="n">
        <v>30</v>
      </c>
      <c r="C120" t="n">
        <v>10</v>
      </c>
      <c r="D120" t="n">
        <v>60</v>
      </c>
      <c r="E120" s="10">
        <f>ROUND($B$47*B120/100,2)</f>
        <v>486000</v>
      </c>
      <c r="F120" s="10">
        <f>ROUND($B$47*C120/100,2)</f>
        <v>162000</v>
      </c>
      <c r="G120" s="10">
        <f>ROUND($B$47*D120/100,2)</f>
        <v>972000</v>
      </c>
      <c r="H120" s="10">
        <f>IF(E120&gt;0,ROUND(-PMT($B$52/1200,$B$39,E120),2),0)</f>
        <v>2433.7</v>
      </c>
      <c r="I120" s="10">
        <f>IF(F120&gt;0,ROUND(-PMT($B$53/1200,$B$39,F120),2),0)</f>
        <v>830.48</v>
      </c>
      <c r="J120" s="10">
        <f>IF(G120&gt;0,ROUND(-PMT($B$54/1200,$B$39,G120),2),0)</f>
        <v>4696.69</v>
      </c>
      <c r="K120" s="10">
        <f>H120+I120+J120</f>
        <v>7960.87</v>
      </c>
      <c r="L120" s="10">
        <f>IF(E120&gt;0,-PMT($B$52/1200,$B$39,E120),0)+IF(F120&gt;0,-PMT($B$53/1200,$B$39,F120),0)+IF(G120&gt;0,-PMT($B$54/1200,$B$39,G120),0)</f>
        <v>7960.8700671854</v>
      </c>
      <c r="M120" s="10">
        <f>L120*$B$39</f>
        <v>2865913.22418674</v>
      </c>
      <c r="N120" s="10">
        <f>IF(E120&gt;0,-PMT($B$52/1200,$B$39,E120),0)+IF(F120&gt;0,-PMT(($B$53+$B$40)/1200,$B$39-12,F120*((1+$B$53/1200)^$B$39-(1+$B$53/1200)^12)/((1+$B$53/1200)^$B$39-1)),0)+IF(G120&gt;0,-PMT(($B$54+$B$41)/1200,$B$39-$B$42,G120*((1+$B$54/1200)^$B$39-(1+$B$54/1200)^$B$42)/((1+$B$54/1200)^$B$39-1)),0)</f>
        <v>9190.63951710524</v>
      </c>
      <c r="O120" s="10">
        <f>N120-K120</f>
        <v>1229.76951710524</v>
      </c>
      <c r="P120" s="15">
        <f>C120+D120</f>
        <v>70</v>
      </c>
      <c r="Q120" s="15">
        <f>IF($B$51&gt;0,L120/$B$51*100,1000000)</f>
        <v>39.3129386033847</v>
      </c>
      <c r="R120" s="16">
        <f>IF(ABS(E120+F120+G120-$B$47)&gt;0.005,1,0)</f>
        <v>0</v>
      </c>
      <c r="S120" s="16">
        <f>IF($B$45&gt;$B$46,1,0)</f>
        <v>0</v>
      </c>
      <c r="T120" s="16">
        <f>IF($B$48&gt;$B$34,1,0)</f>
        <v>0</v>
      </c>
      <c r="U120" s="16">
        <f>IF(Q120&gt;$B$35,1,0)</f>
        <v>0</v>
      </c>
      <c r="V120" s="16">
        <f>IF((F120+G120)*$B$37&gt;$B$47*$B$36,1,0)</f>
        <v>1</v>
      </c>
      <c r="W120" s="16">
        <f>IF($B$39&gt;$B$38,1,0)</f>
        <v>0</v>
      </c>
      <c r="X120" s="16">
        <f>IF(Q120&gt;$B$55,1,0)</f>
        <v>0</v>
      </c>
      <c r="Y120" s="16">
        <f>IF($B$48&gt;$B$56,1,0)</f>
        <v>0</v>
      </c>
      <c r="Z120" s="16">
        <f>IF(L120&gt;$B$14,1,0)</f>
        <v>0</v>
      </c>
      <c r="AA120" s="16">
        <f>IF(Q120&gt;$B$15,1,0)</f>
        <v>0</v>
      </c>
      <c r="AB120" s="16">
        <f>SUM(R120:AA120)</f>
        <v>1</v>
      </c>
      <c r="AC120" s="16">
        <f>IF(AB120=0,1,0)</f>
        <v>0</v>
      </c>
      <c r="AD120" s="16" t="str">
        <f>IF(AC120=1,SUMPRODUCT(($AC$89:$AC$154=1)*($K$89:$K$154&lt;=K120)*($M$89:$M$154&lt;=M120)*($O$89:$O$154&lt;=O120)*((($K$89:$K$154&lt;K120)+($M$89:$M$154&lt;M120)+($O$89:$O$154&lt;O120))&gt;0)),"")</f>
        <v/>
      </c>
      <c r="AE120" s="16">
        <f>IF(AC120=1,IF(AD120=0,1,0),0)</f>
        <v>0</v>
      </c>
      <c r="AF120" s="10" t="str">
        <f>IF(AC120=1,K120,"")</f>
        <v/>
      </c>
      <c r="AG120" s="10" t="str">
        <f>IF(AC120=1,M120,"")</f>
        <v/>
      </c>
      <c r="AH120" s="10" t="str">
        <f>IF(AC120=1,O120,"")</f>
        <v/>
      </c>
      <c r="AI120" s="19">
        <f>IF($C$83=$B$83,0,ROUND((K120-$B$83)/($C$83-$B$83),4))</f>
        <v>0.1264</v>
      </c>
      <c r="AJ120" s="19">
        <f>IF($C$84=$B$84,0,ROUND((M120-$B$84)/($C$84-$B$84),4))</f>
        <v>0.1264</v>
      </c>
      <c r="AK120" s="19">
        <f>IF($C$85=$B$85,0,ROUND((O120-$B$85)/($C$85-$B$85),4))</f>
        <v>1.1247</v>
      </c>
      <c r="AL120" s="20">
        <f>ROUND(($B$22*AI120+$B$23*AJ120+$B$24*AK120)/($B$22+$B$23+$B$24),9)</f>
        <v>0.42589</v>
      </c>
      <c r="AM120" s="16" t="str">
        <f>IF(AC120=1,1+COUNTIFS($AC$89:$AC$154,1,$AL$89:$AL$154,"&lt;"&amp;AL120)+COUNTIFS($AC$88:AC119,1,$AL$88:AL119,AL120),"")</f>
        <v/>
      </c>
    </row>
    <row r="121">
      <c r="A121" t="inlineStr">
        <is>
          <t>g30-20-50</t>
        </is>
      </c>
      <c r="B121" t="n">
        <v>30</v>
      </c>
      <c r="C121" t="n">
        <v>20</v>
      </c>
      <c r="D121" t="n">
        <v>50</v>
      </c>
      <c r="E121" s="10">
        <f>ROUND($B$47*B121/100,2)</f>
        <v>486000</v>
      </c>
      <c r="F121" s="10">
        <f>ROUND($B$47*C121/100,2)</f>
        <v>324000</v>
      </c>
      <c r="G121" s="10">
        <f>ROUND($B$47*D121/100,2)</f>
        <v>810000</v>
      </c>
      <c r="H121" s="10">
        <f>IF(E121&gt;0,ROUND(-PMT($B$52/1200,$B$39,E121),2),0)</f>
        <v>2433.7</v>
      </c>
      <c r="I121" s="10">
        <f>IF(F121&gt;0,ROUND(-PMT($B$53/1200,$B$39,F121),2),0)</f>
        <v>1660.97</v>
      </c>
      <c r="J121" s="10">
        <f>IF(G121&gt;0,ROUND(-PMT($B$54/1200,$B$39,G121),2),0)</f>
        <v>3913.91</v>
      </c>
      <c r="K121" s="10">
        <f>H121+I121+J121</f>
        <v>8008.58</v>
      </c>
      <c r="L121" s="10">
        <f>IF(E121&gt;0,-PMT($B$52/1200,$B$39,E121),0)+IF(F121&gt;0,-PMT($B$53/1200,$B$39,F121),0)+IF(G121&gt;0,-PMT($B$54/1200,$B$39,G121),0)</f>
        <v>8008.57258249923</v>
      </c>
      <c r="M121" s="10">
        <f>L121*$B$39</f>
        <v>2883086.12969972</v>
      </c>
      <c r="N121" s="10">
        <f>IF(E121&gt;0,-PMT($B$52/1200,$B$39,E121),0)+IF(F121&gt;0,-PMT(($B$53+$B$40)/1200,$B$39-12,F121*((1+$B$53/1200)^$B$39-(1+$B$53/1200)^12)/((1+$B$53/1200)^$B$39-1)),0)+IF(G121&gt;0,-PMT(($B$54+$B$41)/1200,$B$39-$B$42,G121*((1+$B$54/1200)^$B$39-(1+$B$54/1200)^$B$42)/((1+$B$54/1200)^$B$39-1)),0)</f>
        <v>9265.58973471139</v>
      </c>
      <c r="O121" s="10">
        <f>N121-K121</f>
        <v>1257.00973471139</v>
      </c>
      <c r="P121" s="15">
        <f>C121+D121</f>
        <v>70</v>
      </c>
      <c r="Q121" s="15">
        <f>IF($B$51&gt;0,L121/$B$51*100,1000000)</f>
        <v>39.5485065802431</v>
      </c>
      <c r="R121" s="16">
        <f>IF(ABS(E121+F121+G121-$B$47)&gt;0.005,1,0)</f>
        <v>0</v>
      </c>
      <c r="S121" s="16">
        <f>IF($B$45&gt;$B$46,1,0)</f>
        <v>0</v>
      </c>
      <c r="T121" s="16">
        <f>IF($B$48&gt;$B$34,1,0)</f>
        <v>0</v>
      </c>
      <c r="U121" s="16">
        <f>IF(Q121&gt;$B$35,1,0)</f>
        <v>0</v>
      </c>
      <c r="V121" s="16">
        <f>IF((F121+G121)*$B$37&gt;$B$47*$B$36,1,0)</f>
        <v>1</v>
      </c>
      <c r="W121" s="16">
        <f>IF($B$39&gt;$B$38,1,0)</f>
        <v>0</v>
      </c>
      <c r="X121" s="16">
        <f>IF(Q121&gt;$B$55,1,0)</f>
        <v>0</v>
      </c>
      <c r="Y121" s="16">
        <f>IF($B$48&gt;$B$56,1,0)</f>
        <v>0</v>
      </c>
      <c r="Z121" s="16">
        <f>IF(L121&gt;$B$14,1,0)</f>
        <v>0</v>
      </c>
      <c r="AA121" s="16">
        <f>IF(Q121&gt;$B$15,1,0)</f>
        <v>0</v>
      </c>
      <c r="AB121" s="16">
        <f>SUM(R121:AA121)</f>
        <v>1</v>
      </c>
      <c r="AC121" s="16">
        <f>IF(AB121=0,1,0)</f>
        <v>0</v>
      </c>
      <c r="AD121" s="16" t="str">
        <f>IF(AC121=1,SUMPRODUCT(($AC$89:$AC$154=1)*($K$89:$K$154&lt;=K121)*($M$89:$M$154&lt;=M121)*($O$89:$O$154&lt;=O121)*((($K$89:$K$154&lt;K121)+($M$89:$M$154&lt;M121)+($O$89:$O$154&lt;O121))&gt;0)),"")</f>
        <v/>
      </c>
      <c r="AE121" s="16">
        <f>IF(AC121=1,IF(AD121=0,1,0),0)</f>
        <v>0</v>
      </c>
      <c r="AF121" s="10" t="str">
        <f>IF(AC121=1,K121,"")</f>
        <v/>
      </c>
      <c r="AG121" s="10" t="str">
        <f>IF(AC121=1,M121,"")</f>
        <v/>
      </c>
      <c r="AH121" s="10" t="str">
        <f>IF(AC121=1,O121,"")</f>
        <v/>
      </c>
      <c r="AI121" s="19">
        <f>IF($C$83=$B$83,0,ROUND((K121-$B$83)/($C$83-$B$83),4))</f>
        <v>0.4396</v>
      </c>
      <c r="AJ121" s="19">
        <f>IF($C$84=$B$84,0,ROUND((M121-$B$84)/($C$84-$B$84),4))</f>
        <v>0.4396</v>
      </c>
      <c r="AK121" s="19">
        <f>IF($C$85=$B$85,0,ROUND((O121-$B$85)/($C$85-$B$85),4))</f>
        <v>1.1536</v>
      </c>
      <c r="AL121" s="20">
        <f>ROUND(($B$22*AI121+$B$23*AJ121+$B$24*AK121)/($B$22+$B$23+$B$24),9)</f>
        <v>0.6538</v>
      </c>
      <c r="AM121" s="16" t="str">
        <f>IF(AC121=1,1+COUNTIFS($AC$89:$AC$154,1,$AL$89:$AL$154,"&lt;"&amp;AL121)+COUNTIFS($AC$88:AC120,1,$AL$88:AL120,AL121),"")</f>
        <v/>
      </c>
    </row>
    <row r="122">
      <c r="A122" t="inlineStr">
        <is>
          <t>g30-30-40</t>
        </is>
      </c>
      <c r="B122" t="n">
        <v>30</v>
      </c>
      <c r="C122" t="n">
        <v>30</v>
      </c>
      <c r="D122" t="n">
        <v>40</v>
      </c>
      <c r="E122" s="10">
        <f>ROUND($B$47*B122/100,2)</f>
        <v>486000</v>
      </c>
      <c r="F122" s="10">
        <f>ROUND($B$47*C122/100,2)</f>
        <v>486000</v>
      </c>
      <c r="G122" s="10">
        <f>ROUND($B$47*D122/100,2)</f>
        <v>648000</v>
      </c>
      <c r="H122" s="10">
        <f>IF(E122&gt;0,ROUND(-PMT($B$52/1200,$B$39,E122),2),0)</f>
        <v>2433.7</v>
      </c>
      <c r="I122" s="10">
        <f>IF(F122&gt;0,ROUND(-PMT($B$53/1200,$B$39,F122),2),0)</f>
        <v>2491.45</v>
      </c>
      <c r="J122" s="10">
        <f>IF(G122&gt;0,ROUND(-PMT($B$54/1200,$B$39,G122),2),0)</f>
        <v>3131.13</v>
      </c>
      <c r="K122" s="10">
        <f>H122+I122+J122</f>
        <v>8056.28</v>
      </c>
      <c r="L122" s="10">
        <f>IF(E122&gt;0,-PMT($B$52/1200,$B$39,E122),0)+IF(F122&gt;0,-PMT($B$53/1200,$B$39,F122),0)+IF(G122&gt;0,-PMT($B$54/1200,$B$39,G122),0)</f>
        <v>8056.27509781306</v>
      </c>
      <c r="M122" s="10">
        <f>L122*$B$39</f>
        <v>2900259.0352127</v>
      </c>
      <c r="N122" s="10">
        <f>IF(E122&gt;0,-PMT($B$52/1200,$B$39,E122),0)+IF(F122&gt;0,-PMT(($B$53+$B$40)/1200,$B$39-12,F122*((1+$B$53/1200)^$B$39-(1+$B$53/1200)^12)/((1+$B$53/1200)^$B$39-1)),0)+IF(G122&gt;0,-PMT(($B$54+$B$41)/1200,$B$39-$B$42,G122*((1+$B$54/1200)^$B$39-(1+$B$54/1200)^$B$42)/((1+$B$54/1200)^$B$39-1)),0)</f>
        <v>9340.53995231755</v>
      </c>
      <c r="O122" s="10">
        <f>N122-K122</f>
        <v>1284.25995231755</v>
      </c>
      <c r="P122" s="15">
        <f>C122+D122</f>
        <v>70</v>
      </c>
      <c r="Q122" s="15">
        <f>IF($B$51&gt;0,L122/$B$51*100,1000000)</f>
        <v>39.7840745571015</v>
      </c>
      <c r="R122" s="16">
        <f>IF(ABS(E122+F122+G122-$B$47)&gt;0.005,1,0)</f>
        <v>0</v>
      </c>
      <c r="S122" s="16">
        <f>IF($B$45&gt;$B$46,1,0)</f>
        <v>0</v>
      </c>
      <c r="T122" s="16">
        <f>IF($B$48&gt;$B$34,1,0)</f>
        <v>0</v>
      </c>
      <c r="U122" s="16">
        <f>IF(Q122&gt;$B$35,1,0)</f>
        <v>0</v>
      </c>
      <c r="V122" s="16">
        <f>IF((F122+G122)*$B$37&gt;$B$47*$B$36,1,0)</f>
        <v>1</v>
      </c>
      <c r="W122" s="16">
        <f>IF($B$39&gt;$B$38,1,0)</f>
        <v>0</v>
      </c>
      <c r="X122" s="16">
        <f>IF(Q122&gt;$B$55,1,0)</f>
        <v>0</v>
      </c>
      <c r="Y122" s="16">
        <f>IF($B$48&gt;$B$56,1,0)</f>
        <v>0</v>
      </c>
      <c r="Z122" s="16">
        <f>IF(L122&gt;$B$14,1,0)</f>
        <v>0</v>
      </c>
      <c r="AA122" s="16">
        <f>IF(Q122&gt;$B$15,1,0)</f>
        <v>0</v>
      </c>
      <c r="AB122" s="16">
        <f>SUM(R122:AA122)</f>
        <v>1</v>
      </c>
      <c r="AC122" s="16">
        <f>IF(AB122=0,1,0)</f>
        <v>0</v>
      </c>
      <c r="AD122" s="16" t="str">
        <f>IF(AC122=1,SUMPRODUCT(($AC$89:$AC$154=1)*($K$89:$K$154&lt;=K122)*($M$89:$M$154&lt;=M122)*($O$89:$O$154&lt;=O122)*((($K$89:$K$154&lt;K122)+($M$89:$M$154&lt;M122)+($O$89:$O$154&lt;O122))&gt;0)),"")</f>
        <v/>
      </c>
      <c r="AE122" s="16">
        <f>IF(AC122=1,IF(AD122=0,1,0),0)</f>
        <v>0</v>
      </c>
      <c r="AF122" s="10" t="str">
        <f>IF(AC122=1,K122,"")</f>
        <v/>
      </c>
      <c r="AG122" s="10" t="str">
        <f>IF(AC122=1,M122,"")</f>
        <v/>
      </c>
      <c r="AH122" s="10" t="str">
        <f>IF(AC122=1,O122,"")</f>
        <v/>
      </c>
      <c r="AI122" s="19">
        <f>IF($C$83=$B$83,0,ROUND((K122-$B$83)/($C$83-$B$83),4))</f>
        <v>0.7528</v>
      </c>
      <c r="AJ122" s="19">
        <f>IF($C$84=$B$84,0,ROUND((M122-$B$84)/($C$84-$B$84),4))</f>
        <v>0.7528</v>
      </c>
      <c r="AK122" s="19">
        <f>IF($C$85=$B$85,0,ROUND((O122-$B$85)/($C$85-$B$85),4))</f>
        <v>1.1826</v>
      </c>
      <c r="AL122" s="20">
        <f>ROUND(($B$22*AI122+$B$23*AJ122+$B$24*AK122)/($B$22+$B$23+$B$24),9)</f>
        <v>0.88174</v>
      </c>
      <c r="AM122" s="16" t="str">
        <f>IF(AC122=1,1+COUNTIFS($AC$89:$AC$154,1,$AL$89:$AL$154,"&lt;"&amp;AL122)+COUNTIFS($AC$88:AC121,1,$AL$88:AL121,AL122),"")</f>
        <v/>
      </c>
    </row>
    <row r="123">
      <c r="A123" t="inlineStr">
        <is>
          <t>g30-40-30</t>
        </is>
      </c>
      <c r="B123" t="n">
        <v>30</v>
      </c>
      <c r="C123" t="n">
        <v>40</v>
      </c>
      <c r="D123" t="n">
        <v>30</v>
      </c>
      <c r="E123" s="10">
        <f>ROUND($B$47*B123/100,2)</f>
        <v>486000</v>
      </c>
      <c r="F123" s="10">
        <f>ROUND($B$47*C123/100,2)</f>
        <v>648000</v>
      </c>
      <c r="G123" s="10">
        <f>ROUND($B$47*D123/100,2)</f>
        <v>486000</v>
      </c>
      <c r="H123" s="10">
        <f>IF(E123&gt;0,ROUND(-PMT($B$52/1200,$B$39,E123),2),0)</f>
        <v>2433.7</v>
      </c>
      <c r="I123" s="10">
        <f>IF(F123&gt;0,ROUND(-PMT($B$53/1200,$B$39,F123),2),0)</f>
        <v>3321.94</v>
      </c>
      <c r="J123" s="10">
        <f>IF(G123&gt;0,ROUND(-PMT($B$54/1200,$B$39,G123),2),0)</f>
        <v>2348.34</v>
      </c>
      <c r="K123" s="10">
        <f>H123+I123+J123</f>
        <v>8103.98</v>
      </c>
      <c r="L123" s="10">
        <f>IF(E123&gt;0,-PMT($B$52/1200,$B$39,E123),0)+IF(F123&gt;0,-PMT($B$53/1200,$B$39,F123),0)+IF(G123&gt;0,-PMT($B$54/1200,$B$39,G123),0)</f>
        <v>8103.97761312688</v>
      </c>
      <c r="M123" s="10">
        <f>L123*$B$39</f>
        <v>2917431.94072568</v>
      </c>
      <c r="N123" s="10">
        <f>IF(E123&gt;0,-PMT($B$52/1200,$B$39,E123),0)+IF(F123&gt;0,-PMT(($B$53+$B$40)/1200,$B$39-12,F123*((1+$B$53/1200)^$B$39-(1+$B$53/1200)^12)/((1+$B$53/1200)^$B$39-1)),0)+IF(G123&gt;0,-PMT(($B$54+$B$41)/1200,$B$39-$B$42,G123*((1+$B$54/1200)^$B$39-(1+$B$54/1200)^$B$42)/((1+$B$54/1200)^$B$39-1)),0)</f>
        <v>9415.4901699237</v>
      </c>
      <c r="O123" s="10">
        <f>N123-K123</f>
        <v>1311.5101699237</v>
      </c>
      <c r="P123" s="15">
        <f>C123+D123</f>
        <v>70</v>
      </c>
      <c r="Q123" s="15">
        <f>IF($B$51&gt;0,L123/$B$51*100,1000000)</f>
        <v>40.0196425339599</v>
      </c>
      <c r="R123" s="16">
        <f>IF(ABS(E123+F123+G123-$B$47)&gt;0.005,1,0)</f>
        <v>0</v>
      </c>
      <c r="S123" s="16">
        <f>IF($B$45&gt;$B$46,1,0)</f>
        <v>0</v>
      </c>
      <c r="T123" s="16">
        <f>IF($B$48&gt;$B$34,1,0)</f>
        <v>0</v>
      </c>
      <c r="U123" s="16">
        <f>IF(Q123&gt;$B$35,1,0)</f>
        <v>0</v>
      </c>
      <c r="V123" s="16">
        <f>IF((F123+G123)*$B$37&gt;$B$47*$B$36,1,0)</f>
        <v>1</v>
      </c>
      <c r="W123" s="16">
        <f>IF($B$39&gt;$B$38,1,0)</f>
        <v>0</v>
      </c>
      <c r="X123" s="16">
        <f>IF(Q123&gt;$B$55,1,0)</f>
        <v>0</v>
      </c>
      <c r="Y123" s="16">
        <f>IF($B$48&gt;$B$56,1,0)</f>
        <v>0</v>
      </c>
      <c r="Z123" s="16">
        <f>IF(L123&gt;$B$14,1,0)</f>
        <v>0</v>
      </c>
      <c r="AA123" s="16">
        <f>IF(Q123&gt;$B$15,1,0)</f>
        <v>1</v>
      </c>
      <c r="AB123" s="16">
        <f>SUM(R123:AA123)</f>
        <v>2</v>
      </c>
      <c r="AC123" s="16">
        <f>IF(AB123=0,1,0)</f>
        <v>0</v>
      </c>
      <c r="AD123" s="16" t="str">
        <f>IF(AC123=1,SUMPRODUCT(($AC$89:$AC$154=1)*($K$89:$K$154&lt;=K123)*($M$89:$M$154&lt;=M123)*($O$89:$O$154&lt;=O123)*((($K$89:$K$154&lt;K123)+($M$89:$M$154&lt;M123)+($O$89:$O$154&lt;O123))&gt;0)),"")</f>
        <v/>
      </c>
      <c r="AE123" s="16">
        <f>IF(AC123=1,IF(AD123=0,1,0),0)</f>
        <v>0</v>
      </c>
      <c r="AF123" s="10" t="str">
        <f>IF(AC123=1,K123,"")</f>
        <v/>
      </c>
      <c r="AG123" s="10" t="str">
        <f>IF(AC123=1,M123,"")</f>
        <v/>
      </c>
      <c r="AH123" s="10" t="str">
        <f>IF(AC123=1,O123,"")</f>
        <v/>
      </c>
      <c r="AI123" s="19">
        <f>IF($C$83=$B$83,0,ROUND((K123-$B$83)/($C$83-$B$83),4))</f>
        <v>1.066</v>
      </c>
      <c r="AJ123" s="19">
        <f>IF($C$84=$B$84,0,ROUND((M123-$B$84)/($C$84-$B$84),4))</f>
        <v>1.066</v>
      </c>
      <c r="AK123" s="19">
        <f>IF($C$85=$B$85,0,ROUND((O123-$B$85)/($C$85-$B$85),4))</f>
        <v>1.2116</v>
      </c>
      <c r="AL123" s="20">
        <f>ROUND(($B$22*AI123+$B$23*AJ123+$B$24*AK123)/($B$22+$B$23+$B$24),9)</f>
        <v>1.10968</v>
      </c>
      <c r="AM123" s="16" t="str">
        <f>IF(AC123=1,1+COUNTIFS($AC$89:$AC$154,1,$AL$89:$AL$154,"&lt;"&amp;AL123)+COUNTIFS($AC$88:AC122,1,$AL$88:AL122,AL123),"")</f>
        <v/>
      </c>
    </row>
    <row r="124">
      <c r="A124" t="inlineStr">
        <is>
          <t>g30-50-20</t>
        </is>
      </c>
      <c r="B124" t="n">
        <v>30</v>
      </c>
      <c r="C124" t="n">
        <v>50</v>
      </c>
      <c r="D124" t="n">
        <v>20</v>
      </c>
      <c r="E124" s="10">
        <f>ROUND($B$47*B124/100,2)</f>
        <v>486000</v>
      </c>
      <c r="F124" s="10">
        <f>ROUND($B$47*C124/100,2)</f>
        <v>810000</v>
      </c>
      <c r="G124" s="10">
        <f>ROUND($B$47*D124/100,2)</f>
        <v>324000</v>
      </c>
      <c r="H124" s="10">
        <f>IF(E124&gt;0,ROUND(-PMT($B$52/1200,$B$39,E124),2),0)</f>
        <v>2433.7</v>
      </c>
      <c r="I124" s="10">
        <f>IF(F124&gt;0,ROUND(-PMT($B$53/1200,$B$39,F124),2),0)</f>
        <v>4152.42</v>
      </c>
      <c r="J124" s="10">
        <f>IF(G124&gt;0,ROUND(-PMT($B$54/1200,$B$39,G124),2),0)</f>
        <v>1565.56</v>
      </c>
      <c r="K124" s="10">
        <f>H124+I124+J124</f>
        <v>8151.68</v>
      </c>
      <c r="L124" s="10">
        <f>IF(E124&gt;0,-PMT($B$52/1200,$B$39,E124),0)+IF(F124&gt;0,-PMT($B$53/1200,$B$39,F124),0)+IF(G124&gt;0,-PMT($B$54/1200,$B$39,G124),0)</f>
        <v>8151.68012844071</v>
      </c>
      <c r="M124" s="10">
        <f>L124*$B$39</f>
        <v>2934604.84623866</v>
      </c>
      <c r="N124" s="10">
        <f>IF(E124&gt;0,-PMT($B$52/1200,$B$39,E124),0)+IF(F124&gt;0,-PMT(($B$53+$B$40)/1200,$B$39-12,F124*((1+$B$53/1200)^$B$39-(1+$B$53/1200)^12)/((1+$B$53/1200)^$B$39-1)),0)+IF(G124&gt;0,-PMT(($B$54+$B$41)/1200,$B$39-$B$42,G124*((1+$B$54/1200)^$B$39-(1+$B$54/1200)^$B$42)/((1+$B$54/1200)^$B$39-1)),0)</f>
        <v>9490.44038752986</v>
      </c>
      <c r="O124" s="10">
        <f>N124-K124</f>
        <v>1338.76038752986</v>
      </c>
      <c r="P124" s="15">
        <f>C124+D124</f>
        <v>70</v>
      </c>
      <c r="Q124" s="15">
        <f>IF($B$51&gt;0,L124/$B$51*100,1000000)</f>
        <v>40.2552105108183</v>
      </c>
      <c r="R124" s="16">
        <f>IF(ABS(E124+F124+G124-$B$47)&gt;0.005,1,0)</f>
        <v>0</v>
      </c>
      <c r="S124" s="16">
        <f>IF($B$45&gt;$B$46,1,0)</f>
        <v>0</v>
      </c>
      <c r="T124" s="16">
        <f>IF($B$48&gt;$B$34,1,0)</f>
        <v>0</v>
      </c>
      <c r="U124" s="16">
        <f>IF(Q124&gt;$B$35,1,0)</f>
        <v>0</v>
      </c>
      <c r="V124" s="16">
        <f>IF((F124+G124)*$B$37&gt;$B$47*$B$36,1,0)</f>
        <v>1</v>
      </c>
      <c r="W124" s="16">
        <f>IF($B$39&gt;$B$38,1,0)</f>
        <v>0</v>
      </c>
      <c r="X124" s="16">
        <f>IF(Q124&gt;$B$55,1,0)</f>
        <v>0</v>
      </c>
      <c r="Y124" s="16">
        <f>IF($B$48&gt;$B$56,1,0)</f>
        <v>0</v>
      </c>
      <c r="Z124" s="16">
        <f>IF(L124&gt;$B$14,1,0)</f>
        <v>0</v>
      </c>
      <c r="AA124" s="16">
        <f>IF(Q124&gt;$B$15,1,0)</f>
        <v>1</v>
      </c>
      <c r="AB124" s="16">
        <f>SUM(R124:AA124)</f>
        <v>2</v>
      </c>
      <c r="AC124" s="16">
        <f>IF(AB124=0,1,0)</f>
        <v>0</v>
      </c>
      <c r="AD124" s="16" t="str">
        <f>IF(AC124=1,SUMPRODUCT(($AC$89:$AC$154=1)*($K$89:$K$154&lt;=K124)*($M$89:$M$154&lt;=M124)*($O$89:$O$154&lt;=O124)*((($K$89:$K$154&lt;K124)+($M$89:$M$154&lt;M124)+($O$89:$O$154&lt;O124))&gt;0)),"")</f>
        <v/>
      </c>
      <c r="AE124" s="16">
        <f>IF(AC124=1,IF(AD124=0,1,0),0)</f>
        <v>0</v>
      </c>
      <c r="AF124" s="10" t="str">
        <f>IF(AC124=1,K124,"")</f>
        <v/>
      </c>
      <c r="AG124" s="10" t="str">
        <f>IF(AC124=1,M124,"")</f>
        <v/>
      </c>
      <c r="AH124" s="10" t="str">
        <f>IF(AC124=1,O124,"")</f>
        <v/>
      </c>
      <c r="AI124" s="19">
        <f>IF($C$83=$B$83,0,ROUND((K124-$B$83)/($C$83-$B$83),4))</f>
        <v>1.3792</v>
      </c>
      <c r="AJ124" s="19">
        <f>IF($C$84=$B$84,0,ROUND((M124-$B$84)/($C$84-$B$84),4))</f>
        <v>1.3792</v>
      </c>
      <c r="AK124" s="19">
        <f>IF($C$85=$B$85,0,ROUND((O124-$B$85)/($C$85-$B$85),4))</f>
        <v>1.2405</v>
      </c>
      <c r="AL124" s="20">
        <f>ROUND(($B$22*AI124+$B$23*AJ124+$B$24*AK124)/($B$22+$B$23+$B$24),9)</f>
        <v>1.33759</v>
      </c>
      <c r="AM124" s="16" t="str">
        <f>IF(AC124=1,1+COUNTIFS($AC$89:$AC$154,1,$AL$89:$AL$154,"&lt;"&amp;AL124)+COUNTIFS($AC$88:AC123,1,$AL$88:AL123,AL124),"")</f>
        <v/>
      </c>
    </row>
    <row r="125">
      <c r="A125" t="inlineStr">
        <is>
          <t>g30-60-10</t>
        </is>
      </c>
      <c r="B125" t="n">
        <v>30</v>
      </c>
      <c r="C125" t="n">
        <v>60</v>
      </c>
      <c r="D125" t="n">
        <v>10</v>
      </c>
      <c r="E125" s="10">
        <f>ROUND($B$47*B125/100,2)</f>
        <v>486000</v>
      </c>
      <c r="F125" s="10">
        <f>ROUND($B$47*C125/100,2)</f>
        <v>972000</v>
      </c>
      <c r="G125" s="10">
        <f>ROUND($B$47*D125/100,2)</f>
        <v>162000</v>
      </c>
      <c r="H125" s="10">
        <f>IF(E125&gt;0,ROUND(-PMT($B$52/1200,$B$39,E125),2),0)</f>
        <v>2433.7</v>
      </c>
      <c r="I125" s="10">
        <f>IF(F125&gt;0,ROUND(-PMT($B$53/1200,$B$39,F125),2),0)</f>
        <v>4982.9</v>
      </c>
      <c r="J125" s="10">
        <f>IF(G125&gt;0,ROUND(-PMT($B$54/1200,$B$39,G125),2),0)</f>
        <v>782.78</v>
      </c>
      <c r="K125" s="10">
        <f>H125+I125+J125</f>
        <v>8199.38</v>
      </c>
      <c r="L125" s="10">
        <f>IF(E125&gt;0,-PMT($B$52/1200,$B$39,E125),0)+IF(F125&gt;0,-PMT($B$53/1200,$B$39,F125),0)+IF(G125&gt;0,-PMT($B$54/1200,$B$39,G125),0)</f>
        <v>8199.38264375454</v>
      </c>
      <c r="M125" s="10">
        <f>L125*$B$39</f>
        <v>2951777.75175164</v>
      </c>
      <c r="N125" s="10">
        <f>IF(E125&gt;0,-PMT($B$52/1200,$B$39,E125),0)+IF(F125&gt;0,-PMT(($B$53+$B$40)/1200,$B$39-12,F125*((1+$B$53/1200)^$B$39-(1+$B$53/1200)^12)/((1+$B$53/1200)^$B$39-1)),0)+IF(G125&gt;0,-PMT(($B$54+$B$41)/1200,$B$39-$B$42,G125*((1+$B$54/1200)^$B$39-(1+$B$54/1200)^$B$42)/((1+$B$54/1200)^$B$39-1)),0)</f>
        <v>9565.39060513601</v>
      </c>
      <c r="O125" s="10">
        <f>N125-K125</f>
        <v>1366.01060513601</v>
      </c>
      <c r="P125" s="15">
        <f>C125+D125</f>
        <v>70</v>
      </c>
      <c r="Q125" s="15">
        <f>IF($B$51&gt;0,L125/$B$51*100,1000000)</f>
        <v>40.4907784876768</v>
      </c>
      <c r="R125" s="16">
        <f>IF(ABS(E125+F125+G125-$B$47)&gt;0.005,1,0)</f>
        <v>0</v>
      </c>
      <c r="S125" s="16">
        <f>IF($B$45&gt;$B$46,1,0)</f>
        <v>0</v>
      </c>
      <c r="T125" s="16">
        <f>IF($B$48&gt;$B$34,1,0)</f>
        <v>0</v>
      </c>
      <c r="U125" s="16">
        <f>IF(Q125&gt;$B$35,1,0)</f>
        <v>0</v>
      </c>
      <c r="V125" s="16">
        <f>IF((F125+G125)*$B$37&gt;$B$47*$B$36,1,0)</f>
        <v>1</v>
      </c>
      <c r="W125" s="16">
        <f>IF($B$39&gt;$B$38,1,0)</f>
        <v>0</v>
      </c>
      <c r="X125" s="16">
        <f>IF(Q125&gt;$B$55,1,0)</f>
        <v>0</v>
      </c>
      <c r="Y125" s="16">
        <f>IF($B$48&gt;$B$56,1,0)</f>
        <v>0</v>
      </c>
      <c r="Z125" s="16">
        <f>IF(L125&gt;$B$14,1,0)</f>
        <v>0</v>
      </c>
      <c r="AA125" s="16">
        <f>IF(Q125&gt;$B$15,1,0)</f>
        <v>1</v>
      </c>
      <c r="AB125" s="16">
        <f>SUM(R125:AA125)</f>
        <v>2</v>
      </c>
      <c r="AC125" s="16">
        <f>IF(AB125=0,1,0)</f>
        <v>0</v>
      </c>
      <c r="AD125" s="16" t="str">
        <f>IF(AC125=1,SUMPRODUCT(($AC$89:$AC$154=1)*($K$89:$K$154&lt;=K125)*($M$89:$M$154&lt;=M125)*($O$89:$O$154&lt;=O125)*((($K$89:$K$154&lt;K125)+($M$89:$M$154&lt;M125)+($O$89:$O$154&lt;O125))&gt;0)),"")</f>
        <v/>
      </c>
      <c r="AE125" s="16">
        <f>IF(AC125=1,IF(AD125=0,1,0),0)</f>
        <v>0</v>
      </c>
      <c r="AF125" s="10" t="str">
        <f>IF(AC125=1,K125,"")</f>
        <v/>
      </c>
      <c r="AG125" s="10" t="str">
        <f>IF(AC125=1,M125,"")</f>
        <v/>
      </c>
      <c r="AH125" s="10" t="str">
        <f>IF(AC125=1,O125,"")</f>
        <v/>
      </c>
      <c r="AI125" s="19">
        <f>IF($C$83=$B$83,0,ROUND((K125-$B$83)/($C$83-$B$83),4))</f>
        <v>1.6923</v>
      </c>
      <c r="AJ125" s="19">
        <f>IF($C$84=$B$84,0,ROUND((M125-$B$84)/($C$84-$B$84),4))</f>
        <v>1.6924</v>
      </c>
      <c r="AK125" s="19">
        <f>IF($C$85=$B$85,0,ROUND((O125-$B$85)/($C$85-$B$85),4))</f>
        <v>1.2695</v>
      </c>
      <c r="AL125" s="20">
        <f>ROUND(($B$22*AI125+$B$23*AJ125+$B$24*AK125)/($B$22+$B$23+$B$24),9)</f>
        <v>1.56549</v>
      </c>
      <c r="AM125" s="16" t="str">
        <f>IF(AC125=1,1+COUNTIFS($AC$89:$AC$154,1,$AL$89:$AL$154,"&lt;"&amp;AL125)+COUNTIFS($AC$88:AC124,1,$AL$88:AL124,AL125),"")</f>
        <v/>
      </c>
    </row>
    <row r="126">
      <c r="A126" t="inlineStr">
        <is>
          <t>g30-70-0</t>
        </is>
      </c>
      <c r="B126" t="n">
        <v>30</v>
      </c>
      <c r="C126" t="n">
        <v>70</v>
      </c>
      <c r="D126" t="n">
        <v>0</v>
      </c>
      <c r="E126" s="10">
        <f>ROUND($B$47*B126/100,2)</f>
        <v>486000</v>
      </c>
      <c r="F126" s="10">
        <f>ROUND($B$47*C126/100,2)</f>
        <v>1134000</v>
      </c>
      <c r="G126" s="10">
        <f>ROUND($B$47*D126/100,2)</f>
        <v>0</v>
      </c>
      <c r="H126" s="10">
        <f>IF(E126&gt;0,ROUND(-PMT($B$52/1200,$B$39,E126),2),0)</f>
        <v>2433.7</v>
      </c>
      <c r="I126" s="10">
        <f>IF(F126&gt;0,ROUND(-PMT($B$53/1200,$B$39,F126),2),0)</f>
        <v>5813.39</v>
      </c>
      <c r="J126" s="10">
        <f>IF(G126&gt;0,ROUND(-PMT($B$54/1200,$B$39,G126),2),0)</f>
        <v>0</v>
      </c>
      <c r="K126" s="10">
        <f>H126+I126+J126</f>
        <v>8247.09</v>
      </c>
      <c r="L126" s="10">
        <f>IF(E126&gt;0,-PMT($B$52/1200,$B$39,E126),0)+IF(F126&gt;0,-PMT($B$53/1200,$B$39,F126),0)+IF(G126&gt;0,-PMT($B$54/1200,$B$39,G126),0)</f>
        <v>8247.08515906837</v>
      </c>
      <c r="M126" s="10">
        <f>L126*$B$39</f>
        <v>2968950.65726461</v>
      </c>
      <c r="N126" s="10">
        <f>IF(E126&gt;0,-PMT($B$52/1200,$B$39,E126),0)+IF(F126&gt;0,-PMT(($B$53+$B$40)/1200,$B$39-12,F126*((1+$B$53/1200)^$B$39-(1+$B$53/1200)^12)/((1+$B$53/1200)^$B$39-1)),0)+IF(G126&gt;0,-PMT(($B$54+$B$41)/1200,$B$39-$B$42,G126*((1+$B$54/1200)^$B$39-(1+$B$54/1200)^$B$42)/((1+$B$54/1200)^$B$39-1)),0)</f>
        <v>9640.34082274217</v>
      </c>
      <c r="O126" s="10">
        <f>N126-K126</f>
        <v>1393.25082274217</v>
      </c>
      <c r="P126" s="15">
        <f>C126+D126</f>
        <v>70</v>
      </c>
      <c r="Q126" s="15">
        <f>IF($B$51&gt;0,L126/$B$51*100,1000000)</f>
        <v>40.7263464645352</v>
      </c>
      <c r="R126" s="16">
        <f>IF(ABS(E126+F126+G126-$B$47)&gt;0.005,1,0)</f>
        <v>0</v>
      </c>
      <c r="S126" s="16">
        <f>IF($B$45&gt;$B$46,1,0)</f>
        <v>0</v>
      </c>
      <c r="T126" s="16">
        <f>IF($B$48&gt;$B$34,1,0)</f>
        <v>0</v>
      </c>
      <c r="U126" s="16">
        <f>IF(Q126&gt;$B$35,1,0)</f>
        <v>0</v>
      </c>
      <c r="V126" s="16">
        <f>IF((F126+G126)*$B$37&gt;$B$47*$B$36,1,0)</f>
        <v>1</v>
      </c>
      <c r="W126" s="16">
        <f>IF($B$39&gt;$B$38,1,0)</f>
        <v>0</v>
      </c>
      <c r="X126" s="16">
        <f>IF(Q126&gt;$B$55,1,0)</f>
        <v>0</v>
      </c>
      <c r="Y126" s="16">
        <f>IF($B$48&gt;$B$56,1,0)</f>
        <v>0</v>
      </c>
      <c r="Z126" s="16">
        <f>IF(L126&gt;$B$14,1,0)</f>
        <v>0</v>
      </c>
      <c r="AA126" s="16">
        <f>IF(Q126&gt;$B$15,1,0)</f>
        <v>1</v>
      </c>
      <c r="AB126" s="16">
        <f>SUM(R126:AA126)</f>
        <v>2</v>
      </c>
      <c r="AC126" s="16">
        <f>IF(AB126=0,1,0)</f>
        <v>0</v>
      </c>
      <c r="AD126" s="16" t="str">
        <f>IF(AC126=1,SUMPRODUCT(($AC$89:$AC$154=1)*($K$89:$K$154&lt;=K126)*($M$89:$M$154&lt;=M126)*($O$89:$O$154&lt;=O126)*((($K$89:$K$154&lt;K126)+($M$89:$M$154&lt;M126)+($O$89:$O$154&lt;O126))&gt;0)),"")</f>
        <v/>
      </c>
      <c r="AE126" s="16">
        <f>IF(AC126=1,IF(AD126=0,1,0),0)</f>
        <v>0</v>
      </c>
      <c r="AF126" s="10" t="str">
        <f>IF(AC126=1,K126,"")</f>
        <v/>
      </c>
      <c r="AG126" s="10" t="str">
        <f>IF(AC126=1,M126,"")</f>
        <v/>
      </c>
      <c r="AH126" s="10" t="str">
        <f>IF(AC126=1,O126,"")</f>
        <v/>
      </c>
      <c r="AI126" s="19">
        <f>IF($C$83=$B$83,0,ROUND((K126-$B$83)/($C$83-$B$83),4))</f>
        <v>2.0056</v>
      </c>
      <c r="AJ126" s="19">
        <f>IF($C$84=$B$84,0,ROUND((M126-$B$84)/($C$84-$B$84),4))</f>
        <v>2.0056</v>
      </c>
      <c r="AK126" s="19">
        <f>IF($C$85=$B$85,0,ROUND((O126-$B$85)/($C$85-$B$85),4))</f>
        <v>1.2985</v>
      </c>
      <c r="AL126" s="20">
        <f>ROUND(($B$22*AI126+$B$23*AJ126+$B$24*AK126)/($B$22+$B$23+$B$24),9)</f>
        <v>1.79347</v>
      </c>
      <c r="AM126" s="16" t="str">
        <f>IF(AC126=1,1+COUNTIFS($AC$89:$AC$154,1,$AL$89:$AL$154,"&lt;"&amp;AL126)+COUNTIFS($AC$88:AC125,1,$AL$88:AL125,AL126),"")</f>
        <v/>
      </c>
    </row>
    <row r="127">
      <c r="A127" t="inlineStr">
        <is>
          <t>g40-0-60</t>
        </is>
      </c>
      <c r="B127" t="n">
        <v>40</v>
      </c>
      <c r="C127" t="n">
        <v>0</v>
      </c>
      <c r="D127" t="n">
        <v>60</v>
      </c>
      <c r="E127" s="10">
        <f>ROUND($B$47*B127/100,2)</f>
        <v>648000</v>
      </c>
      <c r="F127" s="10">
        <f>ROUND($B$47*C127/100,2)</f>
        <v>0</v>
      </c>
      <c r="G127" s="10">
        <f>ROUND($B$47*D127/100,2)</f>
        <v>972000</v>
      </c>
      <c r="H127" s="10">
        <f>IF(E127&gt;0,ROUND(-PMT($B$52/1200,$B$39,E127),2),0)</f>
        <v>3244.93</v>
      </c>
      <c r="I127" s="10">
        <f>IF(F127&gt;0,ROUND(-PMT($B$53/1200,$B$39,F127),2),0)</f>
        <v>0</v>
      </c>
      <c r="J127" s="10">
        <f>IF(G127&gt;0,ROUND(-PMT($B$54/1200,$B$39,G127),2),0)</f>
        <v>4696.69</v>
      </c>
      <c r="K127" s="10">
        <f>H127+I127+J127</f>
        <v>7941.62</v>
      </c>
      <c r="L127" s="10">
        <f>IF(E127&gt;0,-PMT($B$52/1200,$B$39,E127),0)+IF(F127&gt;0,-PMT($B$53/1200,$B$39,F127),0)+IF(G127&gt;0,-PMT($B$54/1200,$B$39,G127),0)</f>
        <v>7941.61886520866</v>
      </c>
      <c r="M127" s="10">
        <f>L127*$B$39</f>
        <v>2858982.79147512</v>
      </c>
      <c r="N127" s="10">
        <f>IF(E127&gt;0,-PMT($B$52/1200,$B$39,E127),0)+IF(F127&gt;0,-PMT(($B$53+$B$40)/1200,$B$39-12,F127*((1+$B$53/1200)^$B$39-(1+$B$53/1200)^12)/((1+$B$53/1200)^$B$39-1)),0)+IF(G127&gt;0,-PMT(($B$54+$B$41)/1200,$B$39-$B$42,G127*((1+$B$54/1200)^$B$39-(1+$B$54/1200)^$B$42)/((1+$B$54/1200)^$B$39-1)),0)</f>
        <v>8972.35179174652</v>
      </c>
      <c r="O127" s="10">
        <f>N127-K127</f>
        <v>1030.73179174652</v>
      </c>
      <c r="P127" s="15">
        <f>C127+D127</f>
        <v>60</v>
      </c>
      <c r="Q127" s="15">
        <f>IF($B$51&gt;0,L127/$B$51*100,1000000)</f>
        <v>39.217870939302</v>
      </c>
      <c r="R127" s="16">
        <f>IF(ABS(E127+F127+G127-$B$47)&gt;0.005,1,0)</f>
        <v>0</v>
      </c>
      <c r="S127" s="16">
        <f>IF($B$45&gt;$B$46,1,0)</f>
        <v>0</v>
      </c>
      <c r="T127" s="16">
        <f>IF($B$48&gt;$B$34,1,0)</f>
        <v>0</v>
      </c>
      <c r="U127" s="16">
        <f>IF(Q127&gt;$B$35,1,0)</f>
        <v>0</v>
      </c>
      <c r="V127" s="16">
        <f>IF((F127+G127)*$B$37&gt;$B$47*$B$36,1,0)</f>
        <v>0</v>
      </c>
      <c r="W127" s="16">
        <f>IF($B$39&gt;$B$38,1,0)</f>
        <v>0</v>
      </c>
      <c r="X127" s="16">
        <f>IF(Q127&gt;$B$55,1,0)</f>
        <v>0</v>
      </c>
      <c r="Y127" s="16">
        <f>IF($B$48&gt;$B$56,1,0)</f>
        <v>0</v>
      </c>
      <c r="Z127" s="16">
        <f>IF(L127&gt;$B$14,1,0)</f>
        <v>0</v>
      </c>
      <c r="AA127" s="16">
        <f>IF(Q127&gt;$B$15,1,0)</f>
        <v>0</v>
      </c>
      <c r="AB127" s="16">
        <f>SUM(R127:AA127)</f>
        <v>0</v>
      </c>
      <c r="AC127" s="16">
        <f>IF(AB127=0,1,0)</f>
        <v>1</v>
      </c>
      <c r="AD127" s="16">
        <f>IF(AC127=1,SUMPRODUCT(($AC$89:$AC$154=1)*($K$89:$K$154&lt;=K127)*($M$89:$M$154&lt;=M127)*($O$89:$O$154&lt;=O127)*((($K$89:$K$154&lt;K127)+($M$89:$M$154&lt;M127)+($O$89:$O$154&lt;O127))&gt;0)),"")</f>
        <v>0</v>
      </c>
      <c r="AE127" s="16">
        <f>IF(AC127=1,IF(AD127=0,1,0),0)</f>
        <v>1</v>
      </c>
      <c r="AF127" s="10">
        <f>IF(AC127=1,K127,"")</f>
        <v>7941.62</v>
      </c>
      <c r="AG127" s="10">
        <f>IF(AC127=1,M127,"")</f>
        <v>2858982.79147512</v>
      </c>
      <c r="AH127" s="10">
        <f>IF(AC127=1,O127,"")</f>
        <v>1030.73179174652</v>
      </c>
      <c r="AI127" s="19">
        <f>IF($C$83=$B$83,0,ROUND((K127-$B$83)/($C$83-$B$83),4))</f>
        <v>0</v>
      </c>
      <c r="AJ127" s="19">
        <f>IF($C$84=$B$84,0,ROUND((M127-$B$84)/($C$84-$B$84),4))</f>
        <v>0</v>
      </c>
      <c r="AK127" s="19">
        <f>IF($C$85=$B$85,0,ROUND((O127-$B$85)/($C$85-$B$85),4))</f>
        <v>0.9131</v>
      </c>
      <c r="AL127" s="20">
        <f>ROUND(($B$22*AI127+$B$23*AJ127+$B$24*AK127)/($B$22+$B$23+$B$24),9)</f>
        <v>0.27393</v>
      </c>
      <c r="AM127" s="16">
        <f>IF(AC127=1,1+COUNTIFS($AC$89:$AC$154,1,$AL$89:$AL$154,"&lt;"&amp;AL127)+COUNTIFS($AC$88:AC126,1,$AL$88:AL126,AL127),"")</f>
        <v>1</v>
      </c>
    </row>
    <row r="128">
      <c r="A128" t="inlineStr">
        <is>
          <t>g40-10-50</t>
        </is>
      </c>
      <c r="B128" t="n">
        <v>40</v>
      </c>
      <c r="C128" t="n">
        <v>10</v>
      </c>
      <c r="D128" t="n">
        <v>50</v>
      </c>
      <c r="E128" s="10">
        <f>ROUND($B$47*B128/100,2)</f>
        <v>648000</v>
      </c>
      <c r="F128" s="10">
        <f>ROUND($B$47*C128/100,2)</f>
        <v>162000</v>
      </c>
      <c r="G128" s="10">
        <f>ROUND($B$47*D128/100,2)</f>
        <v>810000</v>
      </c>
      <c r="H128" s="10">
        <f>IF(E128&gt;0,ROUND(-PMT($B$52/1200,$B$39,E128),2),0)</f>
        <v>3244.93</v>
      </c>
      <c r="I128" s="10">
        <f>IF(F128&gt;0,ROUND(-PMT($B$53/1200,$B$39,F128),2),0)</f>
        <v>830.48</v>
      </c>
      <c r="J128" s="10">
        <f>IF(G128&gt;0,ROUND(-PMT($B$54/1200,$B$39,G128),2),0)</f>
        <v>3913.91</v>
      </c>
      <c r="K128" s="10">
        <f>H128+I128+J128</f>
        <v>7989.32</v>
      </c>
      <c r="L128" s="10">
        <f>IF(E128&gt;0,-PMT($B$52/1200,$B$39,E128),0)+IF(F128&gt;0,-PMT($B$53/1200,$B$39,F128),0)+IF(G128&gt;0,-PMT($B$54/1200,$B$39,G128),0)</f>
        <v>7989.32138052249</v>
      </c>
      <c r="M128" s="10">
        <f>L128*$B$39</f>
        <v>2876155.6969881</v>
      </c>
      <c r="N128" s="10">
        <f>IF(E128&gt;0,-PMT($B$52/1200,$B$39,E128),0)+IF(F128&gt;0,-PMT(($B$53+$B$40)/1200,$B$39-12,F128*((1+$B$53/1200)^$B$39-(1+$B$53/1200)^12)/((1+$B$53/1200)^$B$39-1)),0)+IF(G128&gt;0,-PMT(($B$54+$B$41)/1200,$B$39-$B$42,G128*((1+$B$54/1200)^$B$39-(1+$B$54/1200)^$B$42)/((1+$B$54/1200)^$B$39-1)),0)</f>
        <v>9047.30200935268</v>
      </c>
      <c r="O128" s="10">
        <f>N128-K128</f>
        <v>1057.98200935268</v>
      </c>
      <c r="P128" s="15">
        <f>C128+D128</f>
        <v>60</v>
      </c>
      <c r="Q128" s="15">
        <f>IF($B$51&gt;0,L128/$B$51*100,1000000)</f>
        <v>39.4534389161604</v>
      </c>
      <c r="R128" s="16">
        <f>IF(ABS(E128+F128+G128-$B$47)&gt;0.005,1,0)</f>
        <v>0</v>
      </c>
      <c r="S128" s="16">
        <f>IF($B$45&gt;$B$46,1,0)</f>
        <v>0</v>
      </c>
      <c r="T128" s="16">
        <f>IF($B$48&gt;$B$34,1,0)</f>
        <v>0</v>
      </c>
      <c r="U128" s="16">
        <f>IF(Q128&gt;$B$35,1,0)</f>
        <v>0</v>
      </c>
      <c r="V128" s="16">
        <f>IF((F128+G128)*$B$37&gt;$B$47*$B$36,1,0)</f>
        <v>0</v>
      </c>
      <c r="W128" s="16">
        <f>IF($B$39&gt;$B$38,1,0)</f>
        <v>0</v>
      </c>
      <c r="X128" s="16">
        <f>IF(Q128&gt;$B$55,1,0)</f>
        <v>0</v>
      </c>
      <c r="Y128" s="16">
        <f>IF($B$48&gt;$B$56,1,0)</f>
        <v>0</v>
      </c>
      <c r="Z128" s="16">
        <f>IF(L128&gt;$B$14,1,0)</f>
        <v>0</v>
      </c>
      <c r="AA128" s="16">
        <f>IF(Q128&gt;$B$15,1,0)</f>
        <v>0</v>
      </c>
      <c r="AB128" s="16">
        <f>SUM(R128:AA128)</f>
        <v>0</v>
      </c>
      <c r="AC128" s="16">
        <f>IF(AB128=0,1,0)</f>
        <v>1</v>
      </c>
      <c r="AD128" s="16">
        <f>IF(AC128=1,SUMPRODUCT(($AC$89:$AC$154=1)*($K$89:$K$154&lt;=K128)*($M$89:$M$154&lt;=M128)*($O$89:$O$154&lt;=O128)*((($K$89:$K$154&lt;K128)+($M$89:$M$154&lt;M128)+($O$89:$O$154&lt;O128))&gt;0)),"")</f>
        <v>2</v>
      </c>
      <c r="AE128" s="16">
        <f>IF(AC128=1,IF(AD128=0,1,0),0)</f>
        <v>0</v>
      </c>
      <c r="AF128" s="10">
        <f>IF(AC128=1,K128,"")</f>
        <v>7989.32</v>
      </c>
      <c r="AG128" s="10">
        <f>IF(AC128=1,M128,"")</f>
        <v>2876155.6969881</v>
      </c>
      <c r="AH128" s="10">
        <f>IF(AC128=1,O128,"")</f>
        <v>1057.98200935268</v>
      </c>
      <c r="AI128" s="19">
        <f>IF($C$83=$B$83,0,ROUND((K128-$B$83)/($C$83-$B$83),4))</f>
        <v>0.3132</v>
      </c>
      <c r="AJ128" s="19">
        <f>IF($C$84=$B$84,0,ROUND((M128-$B$84)/($C$84-$B$84),4))</f>
        <v>0.3132</v>
      </c>
      <c r="AK128" s="19">
        <f>IF($C$85=$B$85,0,ROUND((O128-$B$85)/($C$85-$B$85),4))</f>
        <v>0.9421</v>
      </c>
      <c r="AL128" s="20">
        <f>ROUND(($B$22*AI128+$B$23*AJ128+$B$24*AK128)/($B$22+$B$23+$B$24),9)</f>
        <v>0.50187</v>
      </c>
      <c r="AM128" s="16">
        <f>IF(AC128=1,1+COUNTIFS($AC$89:$AC$154,1,$AL$89:$AL$154,"&lt;"&amp;AL128)+COUNTIFS($AC$88:AC127,1,$AL$88:AL127,AL128),"")</f>
        <v>5</v>
      </c>
    </row>
    <row r="129">
      <c r="A129" t="inlineStr">
        <is>
          <t>g40-20-40</t>
        </is>
      </c>
      <c r="B129" t="n">
        <v>40</v>
      </c>
      <c r="C129" t="n">
        <v>20</v>
      </c>
      <c r="D129" t="n">
        <v>40</v>
      </c>
      <c r="E129" s="10">
        <f>ROUND($B$47*B129/100,2)</f>
        <v>648000</v>
      </c>
      <c r="F129" s="10">
        <f>ROUND($B$47*C129/100,2)</f>
        <v>324000</v>
      </c>
      <c r="G129" s="10">
        <f>ROUND($B$47*D129/100,2)</f>
        <v>648000</v>
      </c>
      <c r="H129" s="10">
        <f>IF(E129&gt;0,ROUND(-PMT($B$52/1200,$B$39,E129),2),0)</f>
        <v>3244.93</v>
      </c>
      <c r="I129" s="10">
        <f>IF(F129&gt;0,ROUND(-PMT($B$53/1200,$B$39,F129),2),0)</f>
        <v>1660.97</v>
      </c>
      <c r="J129" s="10">
        <f>IF(G129&gt;0,ROUND(-PMT($B$54/1200,$B$39,G129),2),0)</f>
        <v>3131.13</v>
      </c>
      <c r="K129" s="10">
        <f>H129+I129+J129</f>
        <v>8037.03</v>
      </c>
      <c r="L129" s="10">
        <f>IF(E129&gt;0,-PMT($B$52/1200,$B$39,E129),0)+IF(F129&gt;0,-PMT($B$53/1200,$B$39,F129),0)+IF(G129&gt;0,-PMT($B$54/1200,$B$39,G129),0)</f>
        <v>8037.02389583632</v>
      </c>
      <c r="M129" s="10">
        <f>L129*$B$39</f>
        <v>2893328.60250107</v>
      </c>
      <c r="N129" s="10">
        <f>IF(E129&gt;0,-PMT($B$52/1200,$B$39,E129),0)+IF(F129&gt;0,-PMT(($B$53+$B$40)/1200,$B$39-12,F129*((1+$B$53/1200)^$B$39-(1+$B$53/1200)^12)/((1+$B$53/1200)^$B$39-1)),0)+IF(G129&gt;0,-PMT(($B$54+$B$41)/1200,$B$39-$B$42,G129*((1+$B$54/1200)^$B$39-(1+$B$54/1200)^$B$42)/((1+$B$54/1200)^$B$39-1)),0)</f>
        <v>9122.25222695884</v>
      </c>
      <c r="O129" s="10">
        <f>N129-K129</f>
        <v>1085.22222695884</v>
      </c>
      <c r="P129" s="15">
        <f>C129+D129</f>
        <v>60</v>
      </c>
      <c r="Q129" s="15">
        <f>IF($B$51&gt;0,L129/$B$51*100,1000000)</f>
        <v>39.6890068930188</v>
      </c>
      <c r="R129" s="16">
        <f>IF(ABS(E129+F129+G129-$B$47)&gt;0.005,1,0)</f>
        <v>0</v>
      </c>
      <c r="S129" s="16">
        <f>IF($B$45&gt;$B$46,1,0)</f>
        <v>0</v>
      </c>
      <c r="T129" s="16">
        <f>IF($B$48&gt;$B$34,1,0)</f>
        <v>0</v>
      </c>
      <c r="U129" s="16">
        <f>IF(Q129&gt;$B$35,1,0)</f>
        <v>0</v>
      </c>
      <c r="V129" s="16">
        <f>IF((F129+G129)*$B$37&gt;$B$47*$B$36,1,0)</f>
        <v>0</v>
      </c>
      <c r="W129" s="16">
        <f>IF($B$39&gt;$B$38,1,0)</f>
        <v>0</v>
      </c>
      <c r="X129" s="16">
        <f>IF(Q129&gt;$B$55,1,0)</f>
        <v>0</v>
      </c>
      <c r="Y129" s="16">
        <f>IF($B$48&gt;$B$56,1,0)</f>
        <v>0</v>
      </c>
      <c r="Z129" s="16">
        <f>IF(L129&gt;$B$14,1,0)</f>
        <v>0</v>
      </c>
      <c r="AA129" s="16">
        <f>IF(Q129&gt;$B$15,1,0)</f>
        <v>0</v>
      </c>
      <c r="AB129" s="16">
        <f>SUM(R129:AA129)</f>
        <v>0</v>
      </c>
      <c r="AC129" s="16">
        <f>IF(AB129=0,1,0)</f>
        <v>1</v>
      </c>
      <c r="AD129" s="16">
        <f>IF(AC129=1,SUMPRODUCT(($AC$89:$AC$154=1)*($K$89:$K$154&lt;=K129)*($M$89:$M$154&lt;=M129)*($O$89:$O$154&lt;=O129)*((($K$89:$K$154&lt;K129)+($M$89:$M$154&lt;M129)+($O$89:$O$154&lt;O129))&gt;0)),"")</f>
        <v>6</v>
      </c>
      <c r="AE129" s="16">
        <f>IF(AC129=1,IF(AD129=0,1,0),0)</f>
        <v>0</v>
      </c>
      <c r="AF129" s="10">
        <f>IF(AC129=1,K129,"")</f>
        <v>8037.03</v>
      </c>
      <c r="AG129" s="10">
        <f>IF(AC129=1,M129,"")</f>
        <v>2893328.60250107</v>
      </c>
      <c r="AH129" s="10">
        <f>IF(AC129=1,O129,"")</f>
        <v>1085.22222695884</v>
      </c>
      <c r="AI129" s="19">
        <f>IF($C$83=$B$83,0,ROUND((K129-$B$83)/($C$83-$B$83),4))</f>
        <v>0.6264</v>
      </c>
      <c r="AJ129" s="19">
        <f>IF($C$84=$B$84,0,ROUND((M129-$B$84)/($C$84-$B$84),4))</f>
        <v>0.6264</v>
      </c>
      <c r="AK129" s="19">
        <f>IF($C$85=$B$85,0,ROUND((O129-$B$85)/($C$85-$B$85),4))</f>
        <v>0.971</v>
      </c>
      <c r="AL129" s="20">
        <f>ROUND(($B$22*AI129+$B$23*AJ129+$B$24*AK129)/($B$22+$B$23+$B$24),9)</f>
        <v>0.72978</v>
      </c>
      <c r="AM129" s="16">
        <f>IF(AC129=1,1+COUNTIFS($AC$89:$AC$154,1,$AL$89:$AL$154,"&lt;"&amp;AL129)+COUNTIFS($AC$88:AC128,1,$AL$88:AL128,AL129),"")</f>
        <v>11</v>
      </c>
    </row>
    <row r="130">
      <c r="A130" t="inlineStr">
        <is>
          <t>g40-30-30</t>
        </is>
      </c>
      <c r="B130" t="n">
        <v>40</v>
      </c>
      <c r="C130" t="n">
        <v>30</v>
      </c>
      <c r="D130" t="n">
        <v>30</v>
      </c>
      <c r="E130" s="10">
        <f>ROUND($B$47*B130/100,2)</f>
        <v>648000</v>
      </c>
      <c r="F130" s="10">
        <f>ROUND($B$47*C130/100,2)</f>
        <v>486000</v>
      </c>
      <c r="G130" s="10">
        <f>ROUND($B$47*D130/100,2)</f>
        <v>486000</v>
      </c>
      <c r="H130" s="10">
        <f>IF(E130&gt;0,ROUND(-PMT($B$52/1200,$B$39,E130),2),0)</f>
        <v>3244.93</v>
      </c>
      <c r="I130" s="10">
        <f>IF(F130&gt;0,ROUND(-PMT($B$53/1200,$B$39,F130),2),0)</f>
        <v>2491.45</v>
      </c>
      <c r="J130" s="10">
        <f>IF(G130&gt;0,ROUND(-PMT($B$54/1200,$B$39,G130),2),0)</f>
        <v>2348.34</v>
      </c>
      <c r="K130" s="10">
        <f>H130+I130+J130</f>
        <v>8084.72</v>
      </c>
      <c r="L130" s="10">
        <f>IF(E130&gt;0,-PMT($B$52/1200,$B$39,E130),0)+IF(F130&gt;0,-PMT($B$53/1200,$B$39,F130),0)+IF(G130&gt;0,-PMT($B$54/1200,$B$39,G130),0)</f>
        <v>8084.72641115014</v>
      </c>
      <c r="M130" s="10">
        <f>L130*$B$39</f>
        <v>2910501.50801405</v>
      </c>
      <c r="N130" s="10">
        <f>IF(E130&gt;0,-PMT($B$52/1200,$B$39,E130),0)+IF(F130&gt;0,-PMT(($B$53+$B$40)/1200,$B$39-12,F130*((1+$B$53/1200)^$B$39-(1+$B$53/1200)^12)/((1+$B$53/1200)^$B$39-1)),0)+IF(G130&gt;0,-PMT(($B$54+$B$41)/1200,$B$39-$B$42,G130*((1+$B$54/1200)^$B$39-(1+$B$54/1200)^$B$42)/((1+$B$54/1200)^$B$39-1)),0)</f>
        <v>9197.20244456499</v>
      </c>
      <c r="O130" s="10">
        <f>N130-K130</f>
        <v>1112.48244456499</v>
      </c>
      <c r="P130" s="15">
        <f>C130+D130</f>
        <v>60</v>
      </c>
      <c r="Q130" s="15">
        <f>IF($B$51&gt;0,L130/$B$51*100,1000000)</f>
        <v>39.9245748698773</v>
      </c>
      <c r="R130" s="16">
        <f>IF(ABS(E130+F130+G130-$B$47)&gt;0.005,1,0)</f>
        <v>0</v>
      </c>
      <c r="S130" s="16">
        <f>IF($B$45&gt;$B$46,1,0)</f>
        <v>0</v>
      </c>
      <c r="T130" s="16">
        <f>IF($B$48&gt;$B$34,1,0)</f>
        <v>0</v>
      </c>
      <c r="U130" s="16">
        <f>IF(Q130&gt;$B$35,1,0)</f>
        <v>0</v>
      </c>
      <c r="V130" s="16">
        <f>IF((F130+G130)*$B$37&gt;$B$47*$B$36,1,0)</f>
        <v>0</v>
      </c>
      <c r="W130" s="16">
        <f>IF($B$39&gt;$B$38,1,0)</f>
        <v>0</v>
      </c>
      <c r="X130" s="16">
        <f>IF(Q130&gt;$B$55,1,0)</f>
        <v>0</v>
      </c>
      <c r="Y130" s="16">
        <f>IF($B$48&gt;$B$56,1,0)</f>
        <v>0</v>
      </c>
      <c r="Z130" s="16">
        <f>IF(L130&gt;$B$14,1,0)</f>
        <v>0</v>
      </c>
      <c r="AA130" s="16">
        <f>IF(Q130&gt;$B$15,1,0)</f>
        <v>0</v>
      </c>
      <c r="AB130" s="16">
        <f>SUM(R130:AA130)</f>
        <v>0</v>
      </c>
      <c r="AC130" s="16">
        <f>IF(AB130=0,1,0)</f>
        <v>1</v>
      </c>
      <c r="AD130" s="16">
        <f>IF(AC130=1,SUMPRODUCT(($AC$89:$AC$154=1)*($K$89:$K$154&lt;=K130)*($M$89:$M$154&lt;=M130)*($O$89:$O$154&lt;=O130)*((($K$89:$K$154&lt;K130)+($M$89:$M$154&lt;M130)+($O$89:$O$154&lt;O130))&gt;0)),"")</f>
        <v>12</v>
      </c>
      <c r="AE130" s="16">
        <f>IF(AC130=1,IF(AD130=0,1,0),0)</f>
        <v>0</v>
      </c>
      <c r="AF130" s="10">
        <f>IF(AC130=1,K130,"")</f>
        <v>8084.72</v>
      </c>
      <c r="AG130" s="10">
        <f>IF(AC130=1,M130,"")</f>
        <v>2910501.50801405</v>
      </c>
      <c r="AH130" s="10">
        <f>IF(AC130=1,O130,"")</f>
        <v>1112.48244456499</v>
      </c>
      <c r="AI130" s="19">
        <f>IF($C$83=$B$83,0,ROUND((K130-$B$83)/($C$83-$B$83),4))</f>
        <v>0.9395</v>
      </c>
      <c r="AJ130" s="19">
        <f>IF($C$84=$B$84,0,ROUND((M130-$B$84)/($C$84-$B$84),4))</f>
        <v>0.9396</v>
      </c>
      <c r="AK130" s="19">
        <f>IF($C$85=$B$85,0,ROUND((O130-$B$85)/($C$85-$B$85),4))</f>
        <v>1</v>
      </c>
      <c r="AL130" s="20">
        <f>ROUND(($B$22*AI130+$B$23*AJ130+$B$24*AK130)/($B$22+$B$23+$B$24),9)</f>
        <v>0.95768</v>
      </c>
      <c r="AM130" s="16">
        <f>IF(AC130=1,1+COUNTIFS($AC$89:$AC$154,1,$AL$89:$AL$154,"&lt;"&amp;AL130)+COUNTIFS($AC$88:AC129,1,$AL$88:AL129,AL130),"")</f>
        <v>14</v>
      </c>
    </row>
    <row r="131">
      <c r="A131" t="inlineStr">
        <is>
          <t>g40-40-20</t>
        </is>
      </c>
      <c r="B131" t="n">
        <v>40</v>
      </c>
      <c r="C131" t="n">
        <v>40</v>
      </c>
      <c r="D131" t="n">
        <v>20</v>
      </c>
      <c r="E131" s="10">
        <f>ROUND($B$47*B131/100,2)</f>
        <v>648000</v>
      </c>
      <c r="F131" s="10">
        <f>ROUND($B$47*C131/100,2)</f>
        <v>648000</v>
      </c>
      <c r="G131" s="10">
        <f>ROUND($B$47*D131/100,2)</f>
        <v>324000</v>
      </c>
      <c r="H131" s="10">
        <f>IF(E131&gt;0,ROUND(-PMT($B$52/1200,$B$39,E131),2),0)</f>
        <v>3244.93</v>
      </c>
      <c r="I131" s="10">
        <f>IF(F131&gt;0,ROUND(-PMT($B$53/1200,$B$39,F131),2),0)</f>
        <v>3321.94</v>
      </c>
      <c r="J131" s="10">
        <f>IF(G131&gt;0,ROUND(-PMT($B$54/1200,$B$39,G131),2),0)</f>
        <v>1565.56</v>
      </c>
      <c r="K131" s="10">
        <f>H131+I131+J131</f>
        <v>8132.43</v>
      </c>
      <c r="L131" s="10">
        <f>IF(E131&gt;0,-PMT($B$52/1200,$B$39,E131),0)+IF(F131&gt;0,-PMT($B$53/1200,$B$39,F131),0)+IF(G131&gt;0,-PMT($B$54/1200,$B$39,G131),0)</f>
        <v>8132.42892646397</v>
      </c>
      <c r="M131" s="10">
        <f>L131*$B$39</f>
        <v>2927674.41352703</v>
      </c>
      <c r="N131" s="10">
        <f>IF(E131&gt;0,-PMT($B$52/1200,$B$39,E131),0)+IF(F131&gt;0,-PMT(($B$53+$B$40)/1200,$B$39-12,F131*((1+$B$53/1200)^$B$39-(1+$B$53/1200)^12)/((1+$B$53/1200)^$B$39-1)),0)+IF(G131&gt;0,-PMT(($B$54+$B$41)/1200,$B$39-$B$42,G131*((1+$B$54/1200)^$B$39-(1+$B$54/1200)^$B$42)/((1+$B$54/1200)^$B$39-1)),0)</f>
        <v>9272.15266217115</v>
      </c>
      <c r="O131" s="10">
        <f>N131-K131</f>
        <v>1139.72266217115</v>
      </c>
      <c r="P131" s="15">
        <f>C131+D131</f>
        <v>60</v>
      </c>
      <c r="Q131" s="15">
        <f>IF($B$51&gt;0,L131/$B$51*100,1000000)</f>
        <v>40.1601428467357</v>
      </c>
      <c r="R131" s="16">
        <f>IF(ABS(E131+F131+G131-$B$47)&gt;0.005,1,0)</f>
        <v>0</v>
      </c>
      <c r="S131" s="16">
        <f>IF($B$45&gt;$B$46,1,0)</f>
        <v>0</v>
      </c>
      <c r="T131" s="16">
        <f>IF($B$48&gt;$B$34,1,0)</f>
        <v>0</v>
      </c>
      <c r="U131" s="16">
        <f>IF(Q131&gt;$B$35,1,0)</f>
        <v>0</v>
      </c>
      <c r="V131" s="16">
        <f>IF((F131+G131)*$B$37&gt;$B$47*$B$36,1,0)</f>
        <v>0</v>
      </c>
      <c r="W131" s="16">
        <f>IF($B$39&gt;$B$38,1,0)</f>
        <v>0</v>
      </c>
      <c r="X131" s="16">
        <f>IF(Q131&gt;$B$55,1,0)</f>
        <v>0</v>
      </c>
      <c r="Y131" s="16">
        <f>IF($B$48&gt;$B$56,1,0)</f>
        <v>0</v>
      </c>
      <c r="Z131" s="16">
        <f>IF(L131&gt;$B$14,1,0)</f>
        <v>0</v>
      </c>
      <c r="AA131" s="16">
        <f>IF(Q131&gt;$B$15,1,0)</f>
        <v>1</v>
      </c>
      <c r="AB131" s="16">
        <f>SUM(R131:AA131)</f>
        <v>1</v>
      </c>
      <c r="AC131" s="16">
        <f>IF(AB131=0,1,0)</f>
        <v>0</v>
      </c>
      <c r="AD131" s="16" t="str">
        <f>IF(AC131=1,SUMPRODUCT(($AC$89:$AC$154=1)*($K$89:$K$154&lt;=K131)*($M$89:$M$154&lt;=M131)*($O$89:$O$154&lt;=O131)*((($K$89:$K$154&lt;K131)+($M$89:$M$154&lt;M131)+($O$89:$O$154&lt;O131))&gt;0)),"")</f>
        <v/>
      </c>
      <c r="AE131" s="16">
        <f>IF(AC131=1,IF(AD131=0,1,0),0)</f>
        <v>0</v>
      </c>
      <c r="AF131" s="10" t="str">
        <f>IF(AC131=1,K131,"")</f>
        <v/>
      </c>
      <c r="AG131" s="10" t="str">
        <f>IF(AC131=1,M131,"")</f>
        <v/>
      </c>
      <c r="AH131" s="10" t="str">
        <f>IF(AC131=1,O131,"")</f>
        <v/>
      </c>
      <c r="AI131" s="19">
        <f>IF($C$83=$B$83,0,ROUND((K131-$B$83)/($C$83-$B$83),4))</f>
        <v>1.2528</v>
      </c>
      <c r="AJ131" s="19">
        <f>IF($C$84=$B$84,0,ROUND((M131-$B$84)/($C$84-$B$84),4))</f>
        <v>1.2528</v>
      </c>
      <c r="AK131" s="19">
        <f>IF($C$85=$B$85,0,ROUND((O131-$B$85)/($C$85-$B$85),4))</f>
        <v>1.029</v>
      </c>
      <c r="AL131" s="20">
        <f>ROUND(($B$22*AI131+$B$23*AJ131+$B$24*AK131)/($B$22+$B$23+$B$24),9)</f>
        <v>1.18566</v>
      </c>
      <c r="AM131" s="16" t="str">
        <f>IF(AC131=1,1+COUNTIFS($AC$89:$AC$154,1,$AL$89:$AL$154,"&lt;"&amp;AL131)+COUNTIFS($AC$88:AC130,1,$AL$88:AL130,AL131),"")</f>
        <v/>
      </c>
    </row>
    <row r="132">
      <c r="A132" t="inlineStr">
        <is>
          <t>g40-50-10</t>
        </is>
      </c>
      <c r="B132" t="n">
        <v>40</v>
      </c>
      <c r="C132" t="n">
        <v>50</v>
      </c>
      <c r="D132" t="n">
        <v>10</v>
      </c>
      <c r="E132" s="10">
        <f>ROUND($B$47*B132/100,2)</f>
        <v>648000</v>
      </c>
      <c r="F132" s="10">
        <f>ROUND($B$47*C132/100,2)</f>
        <v>810000</v>
      </c>
      <c r="G132" s="10">
        <f>ROUND($B$47*D132/100,2)</f>
        <v>162000</v>
      </c>
      <c r="H132" s="10">
        <f>IF(E132&gt;0,ROUND(-PMT($B$52/1200,$B$39,E132),2),0)</f>
        <v>3244.93</v>
      </c>
      <c r="I132" s="10">
        <f>IF(F132&gt;0,ROUND(-PMT($B$53/1200,$B$39,F132),2),0)</f>
        <v>4152.42</v>
      </c>
      <c r="J132" s="10">
        <f>IF(G132&gt;0,ROUND(-PMT($B$54/1200,$B$39,G132),2),0)</f>
        <v>782.78</v>
      </c>
      <c r="K132" s="10">
        <f>H132+I132+J132</f>
        <v>8180.13</v>
      </c>
      <c r="L132" s="10">
        <f>IF(E132&gt;0,-PMT($B$52/1200,$B$39,E132),0)+IF(F132&gt;0,-PMT($B$53/1200,$B$39,F132),0)+IF(G132&gt;0,-PMT($B$54/1200,$B$39,G132),0)</f>
        <v>8180.1314417778</v>
      </c>
      <c r="M132" s="10">
        <f>L132*$B$39</f>
        <v>2944847.31904001</v>
      </c>
      <c r="N132" s="10">
        <f>IF(E132&gt;0,-PMT($B$52/1200,$B$39,E132),0)+IF(F132&gt;0,-PMT(($B$53+$B$40)/1200,$B$39-12,F132*((1+$B$53/1200)^$B$39-(1+$B$53/1200)^12)/((1+$B$53/1200)^$B$39-1)),0)+IF(G132&gt;0,-PMT(($B$54+$B$41)/1200,$B$39-$B$42,G132*((1+$B$54/1200)^$B$39-(1+$B$54/1200)^$B$42)/((1+$B$54/1200)^$B$39-1)),0)</f>
        <v>9347.1028797773</v>
      </c>
      <c r="O132" s="10">
        <f>N132-K132</f>
        <v>1166.9728797773</v>
      </c>
      <c r="P132" s="15">
        <f>C132+D132</f>
        <v>60</v>
      </c>
      <c r="Q132" s="15">
        <f>IF($B$51&gt;0,L132/$B$51*100,1000000)</f>
        <v>40.3957108235941</v>
      </c>
      <c r="R132" s="16">
        <f>IF(ABS(E132+F132+G132-$B$47)&gt;0.005,1,0)</f>
        <v>0</v>
      </c>
      <c r="S132" s="16">
        <f>IF($B$45&gt;$B$46,1,0)</f>
        <v>0</v>
      </c>
      <c r="T132" s="16">
        <f>IF($B$48&gt;$B$34,1,0)</f>
        <v>0</v>
      </c>
      <c r="U132" s="16">
        <f>IF(Q132&gt;$B$35,1,0)</f>
        <v>0</v>
      </c>
      <c r="V132" s="16">
        <f>IF((F132+G132)*$B$37&gt;$B$47*$B$36,1,0)</f>
        <v>0</v>
      </c>
      <c r="W132" s="16">
        <f>IF($B$39&gt;$B$38,1,0)</f>
        <v>0</v>
      </c>
      <c r="X132" s="16">
        <f>IF(Q132&gt;$B$55,1,0)</f>
        <v>0</v>
      </c>
      <c r="Y132" s="16">
        <f>IF($B$48&gt;$B$56,1,0)</f>
        <v>0</v>
      </c>
      <c r="Z132" s="16">
        <f>IF(L132&gt;$B$14,1,0)</f>
        <v>0</v>
      </c>
      <c r="AA132" s="16">
        <f>IF(Q132&gt;$B$15,1,0)</f>
        <v>1</v>
      </c>
      <c r="AB132" s="16">
        <f>SUM(R132:AA132)</f>
        <v>1</v>
      </c>
      <c r="AC132" s="16">
        <f>IF(AB132=0,1,0)</f>
        <v>0</v>
      </c>
      <c r="AD132" s="16" t="str">
        <f>IF(AC132=1,SUMPRODUCT(($AC$89:$AC$154=1)*($K$89:$K$154&lt;=K132)*($M$89:$M$154&lt;=M132)*($O$89:$O$154&lt;=O132)*((($K$89:$K$154&lt;K132)+($M$89:$M$154&lt;M132)+($O$89:$O$154&lt;O132))&gt;0)),"")</f>
        <v/>
      </c>
      <c r="AE132" s="16">
        <f>IF(AC132=1,IF(AD132=0,1,0),0)</f>
        <v>0</v>
      </c>
      <c r="AF132" s="10" t="str">
        <f>IF(AC132=1,K132,"")</f>
        <v/>
      </c>
      <c r="AG132" s="10" t="str">
        <f>IF(AC132=1,M132,"")</f>
        <v/>
      </c>
      <c r="AH132" s="10" t="str">
        <f>IF(AC132=1,O132,"")</f>
        <v/>
      </c>
      <c r="AI132" s="19">
        <f>IF($C$83=$B$83,0,ROUND((K132-$B$83)/($C$83-$B$83),4))</f>
        <v>1.566</v>
      </c>
      <c r="AJ132" s="19">
        <f>IF($C$84=$B$84,0,ROUND((M132-$B$84)/($C$84-$B$84),4))</f>
        <v>1.566</v>
      </c>
      <c r="AK132" s="19">
        <f>IF($C$85=$B$85,0,ROUND((O132-$B$85)/($C$85-$B$85),4))</f>
        <v>1.0579</v>
      </c>
      <c r="AL132" s="20">
        <f>ROUND(($B$22*AI132+$B$23*AJ132+$B$24*AK132)/($B$22+$B$23+$B$24),9)</f>
        <v>1.41357</v>
      </c>
      <c r="AM132" s="16" t="str">
        <f>IF(AC132=1,1+COUNTIFS($AC$89:$AC$154,1,$AL$89:$AL$154,"&lt;"&amp;AL132)+COUNTIFS($AC$88:AC131,1,$AL$88:AL131,AL132),"")</f>
        <v/>
      </c>
    </row>
    <row r="133">
      <c r="A133" t="inlineStr">
        <is>
          <t>g40-60-0</t>
        </is>
      </c>
      <c r="B133" t="n">
        <v>40</v>
      </c>
      <c r="C133" t="n">
        <v>60</v>
      </c>
      <c r="D133" t="n">
        <v>0</v>
      </c>
      <c r="E133" s="10">
        <f>ROUND($B$47*B133/100,2)</f>
        <v>648000</v>
      </c>
      <c r="F133" s="10">
        <f>ROUND($B$47*C133/100,2)</f>
        <v>972000</v>
      </c>
      <c r="G133" s="10">
        <f>ROUND($B$47*D133/100,2)</f>
        <v>0</v>
      </c>
      <c r="H133" s="10">
        <f>IF(E133&gt;0,ROUND(-PMT($B$52/1200,$B$39,E133),2),0)</f>
        <v>3244.93</v>
      </c>
      <c r="I133" s="10">
        <f>IF(F133&gt;0,ROUND(-PMT($B$53/1200,$B$39,F133),2),0)</f>
        <v>4982.9</v>
      </c>
      <c r="J133" s="10">
        <f>IF(G133&gt;0,ROUND(-PMT($B$54/1200,$B$39,G133),2),0)</f>
        <v>0</v>
      </c>
      <c r="K133" s="10">
        <f>H133+I133+J133</f>
        <v>8227.83</v>
      </c>
      <c r="L133" s="10">
        <f>IF(E133&gt;0,-PMT($B$52/1200,$B$39,E133),0)+IF(F133&gt;0,-PMT($B$53/1200,$B$39,F133),0)+IF(G133&gt;0,-PMT($B$54/1200,$B$39,G133),0)</f>
        <v>8227.83395709163</v>
      </c>
      <c r="M133" s="10">
        <f>L133*$B$39</f>
        <v>2962020.22455299</v>
      </c>
      <c r="N133" s="10">
        <f>IF(E133&gt;0,-PMT($B$52/1200,$B$39,E133),0)+IF(F133&gt;0,-PMT(($B$53+$B$40)/1200,$B$39-12,F133*((1+$B$53/1200)^$B$39-(1+$B$53/1200)^12)/((1+$B$53/1200)^$B$39-1)),0)+IF(G133&gt;0,-PMT(($B$54+$B$41)/1200,$B$39-$B$42,G133*((1+$B$54/1200)^$B$39-(1+$B$54/1200)^$B$42)/((1+$B$54/1200)^$B$39-1)),0)</f>
        <v>9422.05309738346</v>
      </c>
      <c r="O133" s="10">
        <f>N133-K133</f>
        <v>1194.22309738346</v>
      </c>
      <c r="P133" s="15">
        <f>C133+D133</f>
        <v>60</v>
      </c>
      <c r="Q133" s="15">
        <f>IF($B$51&gt;0,L133/$B$51*100,1000000)</f>
        <v>40.6312788004525</v>
      </c>
      <c r="R133" s="16">
        <f>IF(ABS(E133+F133+G133-$B$47)&gt;0.005,1,0)</f>
        <v>0</v>
      </c>
      <c r="S133" s="16">
        <f>IF($B$45&gt;$B$46,1,0)</f>
        <v>0</v>
      </c>
      <c r="T133" s="16">
        <f>IF($B$48&gt;$B$34,1,0)</f>
        <v>0</v>
      </c>
      <c r="U133" s="16">
        <f>IF(Q133&gt;$B$35,1,0)</f>
        <v>0</v>
      </c>
      <c r="V133" s="16">
        <f>IF((F133+G133)*$B$37&gt;$B$47*$B$36,1,0)</f>
        <v>0</v>
      </c>
      <c r="W133" s="16">
        <f>IF($B$39&gt;$B$38,1,0)</f>
        <v>0</v>
      </c>
      <c r="X133" s="16">
        <f>IF(Q133&gt;$B$55,1,0)</f>
        <v>0</v>
      </c>
      <c r="Y133" s="16">
        <f>IF($B$48&gt;$B$56,1,0)</f>
        <v>0</v>
      </c>
      <c r="Z133" s="16">
        <f>IF(L133&gt;$B$14,1,0)</f>
        <v>0</v>
      </c>
      <c r="AA133" s="16">
        <f>IF(Q133&gt;$B$15,1,0)</f>
        <v>1</v>
      </c>
      <c r="AB133" s="16">
        <f>SUM(R133:AA133)</f>
        <v>1</v>
      </c>
      <c r="AC133" s="16">
        <f>IF(AB133=0,1,0)</f>
        <v>0</v>
      </c>
      <c r="AD133" s="16" t="str">
        <f>IF(AC133=1,SUMPRODUCT(($AC$89:$AC$154=1)*($K$89:$K$154&lt;=K133)*($M$89:$M$154&lt;=M133)*($O$89:$O$154&lt;=O133)*((($K$89:$K$154&lt;K133)+($M$89:$M$154&lt;M133)+($O$89:$O$154&lt;O133))&gt;0)),"")</f>
        <v/>
      </c>
      <c r="AE133" s="16">
        <f>IF(AC133=1,IF(AD133=0,1,0),0)</f>
        <v>0</v>
      </c>
      <c r="AF133" s="10" t="str">
        <f>IF(AC133=1,K133,"")</f>
        <v/>
      </c>
      <c r="AG133" s="10" t="str">
        <f>IF(AC133=1,M133,"")</f>
        <v/>
      </c>
      <c r="AH133" s="10" t="str">
        <f>IF(AC133=1,O133,"")</f>
        <v/>
      </c>
      <c r="AI133" s="19">
        <f>IF($C$83=$B$83,0,ROUND((K133-$B$83)/($C$83-$B$83),4))</f>
        <v>1.8791</v>
      </c>
      <c r="AJ133" s="19">
        <f>IF($C$84=$B$84,0,ROUND((M133-$B$84)/($C$84-$B$84),4))</f>
        <v>1.8792</v>
      </c>
      <c r="AK133" s="19">
        <f>IF($C$85=$B$85,0,ROUND((O133-$B$85)/($C$85-$B$85),4))</f>
        <v>1.0869</v>
      </c>
      <c r="AL133" s="20">
        <f>ROUND(($B$22*AI133+$B$23*AJ133+$B$24*AK133)/($B$22+$B$23+$B$24),9)</f>
        <v>1.64147</v>
      </c>
      <c r="AM133" s="16" t="str">
        <f>IF(AC133=1,1+COUNTIFS($AC$89:$AC$154,1,$AL$89:$AL$154,"&lt;"&amp;AL133)+COUNTIFS($AC$88:AC132,1,$AL$88:AL132,AL133),"")</f>
        <v/>
      </c>
    </row>
    <row r="134">
      <c r="A134" t="inlineStr">
        <is>
          <t>g50-0-50</t>
        </is>
      </c>
      <c r="B134" t="n">
        <v>50</v>
      </c>
      <c r="C134" t="n">
        <v>0</v>
      </c>
      <c r="D134" t="n">
        <v>50</v>
      </c>
      <c r="E134" s="10">
        <f>ROUND($B$47*B134/100,2)</f>
        <v>810000</v>
      </c>
      <c r="F134" s="10">
        <f>ROUND($B$47*C134/100,2)</f>
        <v>0</v>
      </c>
      <c r="G134" s="10">
        <f>ROUND($B$47*D134/100,2)</f>
        <v>810000</v>
      </c>
      <c r="H134" s="10">
        <f>IF(E134&gt;0,ROUND(-PMT($B$52/1200,$B$39,E134),2),0)</f>
        <v>4056.16</v>
      </c>
      <c r="I134" s="10">
        <f>IF(F134&gt;0,ROUND(-PMT($B$53/1200,$B$39,F134),2),0)</f>
        <v>0</v>
      </c>
      <c r="J134" s="10">
        <f>IF(G134&gt;0,ROUND(-PMT($B$54/1200,$B$39,G134),2),0)</f>
        <v>3913.91</v>
      </c>
      <c r="K134" s="10">
        <f>H134+I134+J134</f>
        <v>7970.07</v>
      </c>
      <c r="L134" s="10">
        <f>IF(E134&gt;0,-PMT($B$52/1200,$B$39,E134),0)+IF(F134&gt;0,-PMT($B$53/1200,$B$39,F134),0)+IF(G134&gt;0,-PMT($B$54/1200,$B$39,G134),0)</f>
        <v>7970.07017854575</v>
      </c>
      <c r="M134" s="10">
        <f>L134*$B$39</f>
        <v>2869225.26427647</v>
      </c>
      <c r="N134" s="10">
        <f>IF(E134&gt;0,-PMT($B$52/1200,$B$39,E134),0)+IF(F134&gt;0,-PMT(($B$53+$B$40)/1200,$B$39-12,F134*((1+$B$53/1200)^$B$39-(1+$B$53/1200)^12)/((1+$B$53/1200)^$B$39-1)),0)+IF(G134&gt;0,-PMT(($B$54+$B$41)/1200,$B$39-$B$42,G134*((1+$B$54/1200)^$B$39-(1+$B$54/1200)^$B$42)/((1+$B$54/1200)^$B$39-1)),0)</f>
        <v>8829.01428399397</v>
      </c>
      <c r="O134" s="10">
        <f>N134-K134</f>
        <v>858.944283993969</v>
      </c>
      <c r="P134" s="15">
        <f>C134+D134</f>
        <v>50</v>
      </c>
      <c r="Q134" s="15">
        <f>IF($B$51&gt;0,L134/$B$51*100,1000000)</f>
        <v>39.3583712520778</v>
      </c>
      <c r="R134" s="16">
        <f>IF(ABS(E134+F134+G134-$B$47)&gt;0.005,1,0)</f>
        <v>0</v>
      </c>
      <c r="S134" s="16">
        <f>IF($B$45&gt;$B$46,1,0)</f>
        <v>0</v>
      </c>
      <c r="T134" s="16">
        <f>IF($B$48&gt;$B$34,1,0)</f>
        <v>0</v>
      </c>
      <c r="U134" s="16">
        <f>IF(Q134&gt;$B$35,1,0)</f>
        <v>0</v>
      </c>
      <c r="V134" s="16">
        <f>IF((F134+G134)*$B$37&gt;$B$47*$B$36,1,0)</f>
        <v>0</v>
      </c>
      <c r="W134" s="16">
        <f>IF($B$39&gt;$B$38,1,0)</f>
        <v>0</v>
      </c>
      <c r="X134" s="16">
        <f>IF(Q134&gt;$B$55,1,0)</f>
        <v>0</v>
      </c>
      <c r="Y134" s="16">
        <f>IF($B$48&gt;$B$56,1,0)</f>
        <v>0</v>
      </c>
      <c r="Z134" s="16">
        <f>IF(L134&gt;$B$14,1,0)</f>
        <v>0</v>
      </c>
      <c r="AA134" s="16">
        <f>IF(Q134&gt;$B$15,1,0)</f>
        <v>0</v>
      </c>
      <c r="AB134" s="16">
        <f>SUM(R134:AA134)</f>
        <v>0</v>
      </c>
      <c r="AC134" s="16">
        <f>IF(AB134=0,1,0)</f>
        <v>1</v>
      </c>
      <c r="AD134" s="16">
        <f>IF(AC134=1,SUMPRODUCT(($AC$89:$AC$154=1)*($K$89:$K$154&lt;=K134)*($M$89:$M$154&lt;=M134)*($O$89:$O$154&lt;=O134)*((($K$89:$K$154&lt;K134)+($M$89:$M$154&lt;M134)+($O$89:$O$154&lt;O134))&gt;0)),"")</f>
        <v>0</v>
      </c>
      <c r="AE134" s="16">
        <f>IF(AC134=1,IF(AD134=0,1,0),0)</f>
        <v>1</v>
      </c>
      <c r="AF134" s="10">
        <f>IF(AC134=1,K134,"")</f>
        <v>7970.07</v>
      </c>
      <c r="AG134" s="10">
        <f>IF(AC134=1,M134,"")</f>
        <v>2869225.26427647</v>
      </c>
      <c r="AH134" s="10">
        <f>IF(AC134=1,O134,"")</f>
        <v>858.944283993969</v>
      </c>
      <c r="AI134" s="19">
        <f>IF($C$83=$B$83,0,ROUND((K134-$B$83)/($C$83-$B$83),4))</f>
        <v>0.1868</v>
      </c>
      <c r="AJ134" s="19">
        <f>IF($C$84=$B$84,0,ROUND((M134-$B$84)/($C$84-$B$84),4))</f>
        <v>0.1868</v>
      </c>
      <c r="AK134" s="19">
        <f>IF($C$85=$B$85,0,ROUND((O134-$B$85)/($C$85-$B$85),4))</f>
        <v>0.7305</v>
      </c>
      <c r="AL134" s="20">
        <f>ROUND(($B$22*AI134+$B$23*AJ134+$B$24*AK134)/($B$22+$B$23+$B$24),9)</f>
        <v>0.34991</v>
      </c>
      <c r="AM134" s="16">
        <f>IF(AC134=1,1+COUNTIFS($AC$89:$AC$154,1,$AL$89:$AL$154,"&lt;"&amp;AL134)+COUNTIFS($AC$88:AC133,1,$AL$88:AL133,AL134),"")</f>
        <v>2</v>
      </c>
    </row>
    <row r="135">
      <c r="A135" t="inlineStr">
        <is>
          <t>g50-10-40</t>
        </is>
      </c>
      <c r="B135" t="n">
        <v>50</v>
      </c>
      <c r="C135" t="n">
        <v>10</v>
      </c>
      <c r="D135" t="n">
        <v>40</v>
      </c>
      <c r="E135" s="10">
        <f>ROUND($B$47*B135/100,2)</f>
        <v>810000</v>
      </c>
      <c r="F135" s="10">
        <f>ROUND($B$47*C135/100,2)</f>
        <v>162000</v>
      </c>
      <c r="G135" s="10">
        <f>ROUND($B$47*D135/100,2)</f>
        <v>648000</v>
      </c>
      <c r="H135" s="10">
        <f>IF(E135&gt;0,ROUND(-PMT($B$52/1200,$B$39,E135),2),0)</f>
        <v>4056.16</v>
      </c>
      <c r="I135" s="10">
        <f>IF(F135&gt;0,ROUND(-PMT($B$53/1200,$B$39,F135),2),0)</f>
        <v>830.48</v>
      </c>
      <c r="J135" s="10">
        <f>IF(G135&gt;0,ROUND(-PMT($B$54/1200,$B$39,G135),2),0)</f>
        <v>3131.13</v>
      </c>
      <c r="K135" s="10">
        <f>H135+I135+J135</f>
        <v>8017.77</v>
      </c>
      <c r="L135" s="10">
        <f>IF(E135&gt;0,-PMT($B$52/1200,$B$39,E135),0)+IF(F135&gt;0,-PMT($B$53/1200,$B$39,F135),0)+IF(G135&gt;0,-PMT($B$54/1200,$B$39,G135),0)</f>
        <v>8017.77269385958</v>
      </c>
      <c r="M135" s="10">
        <f>L135*$B$39</f>
        <v>2886398.16978945</v>
      </c>
      <c r="N135" s="10">
        <f>IF(E135&gt;0,-PMT($B$52/1200,$B$39,E135),0)+IF(F135&gt;0,-PMT(($B$53+$B$40)/1200,$B$39-12,F135*((1+$B$53/1200)^$B$39-(1+$B$53/1200)^12)/((1+$B$53/1200)^$B$39-1)),0)+IF(G135&gt;0,-PMT(($B$54+$B$41)/1200,$B$39-$B$42,G135*((1+$B$54/1200)^$B$39-(1+$B$54/1200)^$B$42)/((1+$B$54/1200)^$B$39-1)),0)</f>
        <v>8903.96450160013</v>
      </c>
      <c r="O135" s="10">
        <f>N135-K135</f>
        <v>886.194501600126</v>
      </c>
      <c r="P135" s="15">
        <f>C135+D135</f>
        <v>50</v>
      </c>
      <c r="Q135" s="15">
        <f>IF($B$51&gt;0,L135/$B$51*100,1000000)</f>
        <v>39.5939392289362</v>
      </c>
      <c r="R135" s="16">
        <f>IF(ABS(E135+F135+G135-$B$47)&gt;0.005,1,0)</f>
        <v>0</v>
      </c>
      <c r="S135" s="16">
        <f>IF($B$45&gt;$B$46,1,0)</f>
        <v>0</v>
      </c>
      <c r="T135" s="16">
        <f>IF($B$48&gt;$B$34,1,0)</f>
        <v>0</v>
      </c>
      <c r="U135" s="16">
        <f>IF(Q135&gt;$B$35,1,0)</f>
        <v>0</v>
      </c>
      <c r="V135" s="16">
        <f>IF((F135+G135)*$B$37&gt;$B$47*$B$36,1,0)</f>
        <v>0</v>
      </c>
      <c r="W135" s="16">
        <f>IF($B$39&gt;$B$38,1,0)</f>
        <v>0</v>
      </c>
      <c r="X135" s="16">
        <f>IF(Q135&gt;$B$55,1,0)</f>
        <v>0</v>
      </c>
      <c r="Y135" s="16">
        <f>IF($B$48&gt;$B$56,1,0)</f>
        <v>0</v>
      </c>
      <c r="Z135" s="16">
        <f>IF(L135&gt;$B$14,1,0)</f>
        <v>0</v>
      </c>
      <c r="AA135" s="16">
        <f>IF(Q135&gt;$B$15,1,0)</f>
        <v>0</v>
      </c>
      <c r="AB135" s="16">
        <f>SUM(R135:AA135)</f>
        <v>0</v>
      </c>
      <c r="AC135" s="16">
        <f>IF(AB135=0,1,0)</f>
        <v>1</v>
      </c>
      <c r="AD135" s="16">
        <f>IF(AC135=1,SUMPRODUCT(($AC$89:$AC$154=1)*($K$89:$K$154&lt;=K135)*($M$89:$M$154&lt;=M135)*($O$89:$O$154&lt;=O135)*((($K$89:$K$154&lt;K135)+($M$89:$M$154&lt;M135)+($O$89:$O$154&lt;O135))&gt;0)),"")</f>
        <v>2</v>
      </c>
      <c r="AE135" s="16">
        <f>IF(AC135=1,IF(AD135=0,1,0),0)</f>
        <v>0</v>
      </c>
      <c r="AF135" s="10">
        <f>IF(AC135=1,K135,"")</f>
        <v>8017.77</v>
      </c>
      <c r="AG135" s="10">
        <f>IF(AC135=1,M135,"")</f>
        <v>2886398.16978945</v>
      </c>
      <c r="AH135" s="10">
        <f>IF(AC135=1,O135,"")</f>
        <v>886.194501600126</v>
      </c>
      <c r="AI135" s="19">
        <f>IF($C$83=$B$83,0,ROUND((K135-$B$83)/($C$83-$B$83),4))</f>
        <v>0.5</v>
      </c>
      <c r="AJ135" s="19">
        <f>IF($C$84=$B$84,0,ROUND((M135-$B$84)/($C$84-$B$84),4))</f>
        <v>0.5</v>
      </c>
      <c r="AK135" s="19">
        <f>IF($C$85=$B$85,0,ROUND((O135-$B$85)/($C$85-$B$85),4))</f>
        <v>0.7594</v>
      </c>
      <c r="AL135" s="20">
        <f>ROUND(($B$22*AI135+$B$23*AJ135+$B$24*AK135)/($B$22+$B$23+$B$24),9)</f>
        <v>0.57782</v>
      </c>
      <c r="AM135" s="16">
        <f>IF(AC135=1,1+COUNTIFS($AC$89:$AC$154,1,$AL$89:$AL$154,"&lt;"&amp;AL135)+COUNTIFS($AC$88:AC134,1,$AL$88:AL134,AL135),"")</f>
        <v>6</v>
      </c>
    </row>
    <row r="136">
      <c r="A136" t="inlineStr">
        <is>
          <t>g50-20-30</t>
        </is>
      </c>
      <c r="B136" t="n">
        <v>50</v>
      </c>
      <c r="C136" t="n">
        <v>20</v>
      </c>
      <c r="D136" t="n">
        <v>30</v>
      </c>
      <c r="E136" s="10">
        <f>ROUND($B$47*B136/100,2)</f>
        <v>810000</v>
      </c>
      <c r="F136" s="10">
        <f>ROUND($B$47*C136/100,2)</f>
        <v>324000</v>
      </c>
      <c r="G136" s="10">
        <f>ROUND($B$47*D136/100,2)</f>
        <v>486000</v>
      </c>
      <c r="H136" s="10">
        <f>IF(E136&gt;0,ROUND(-PMT($B$52/1200,$B$39,E136),2),0)</f>
        <v>4056.16</v>
      </c>
      <c r="I136" s="10">
        <f>IF(F136&gt;0,ROUND(-PMT($B$53/1200,$B$39,F136),2),0)</f>
        <v>1660.97</v>
      </c>
      <c r="J136" s="10">
        <f>IF(G136&gt;0,ROUND(-PMT($B$54/1200,$B$39,G136),2),0)</f>
        <v>2348.34</v>
      </c>
      <c r="K136" s="10">
        <f>H136+I136+J136</f>
        <v>8065.47</v>
      </c>
      <c r="L136" s="10">
        <f>IF(E136&gt;0,-PMT($B$52/1200,$B$39,E136),0)+IF(F136&gt;0,-PMT($B$53/1200,$B$39,F136),0)+IF(G136&gt;0,-PMT($B$54/1200,$B$39,G136),0)</f>
        <v>8065.4752091734</v>
      </c>
      <c r="M136" s="10">
        <f>L136*$B$39</f>
        <v>2903571.07530243</v>
      </c>
      <c r="N136" s="10">
        <f>IF(E136&gt;0,-PMT($B$52/1200,$B$39,E136),0)+IF(F136&gt;0,-PMT(($B$53+$B$40)/1200,$B$39-12,F136*((1+$B$53/1200)^$B$39-(1+$B$53/1200)^12)/((1+$B$53/1200)^$B$39-1)),0)+IF(G136&gt;0,-PMT(($B$54+$B$41)/1200,$B$39-$B$42,G136*((1+$B$54/1200)^$B$39-(1+$B$54/1200)^$B$42)/((1+$B$54/1200)^$B$39-1)),0)</f>
        <v>8978.91471920628</v>
      </c>
      <c r="O136" s="10">
        <f>N136-K136</f>
        <v>913.444719206279</v>
      </c>
      <c r="P136" s="15">
        <f>C136+D136</f>
        <v>50</v>
      </c>
      <c r="Q136" s="15">
        <f>IF($B$51&gt;0,L136/$B$51*100,1000000)</f>
        <v>39.8295072057946</v>
      </c>
      <c r="R136" s="16">
        <f>IF(ABS(E136+F136+G136-$B$47)&gt;0.005,1,0)</f>
        <v>0</v>
      </c>
      <c r="S136" s="16">
        <f>IF($B$45&gt;$B$46,1,0)</f>
        <v>0</v>
      </c>
      <c r="T136" s="16">
        <f>IF($B$48&gt;$B$34,1,0)</f>
        <v>0</v>
      </c>
      <c r="U136" s="16">
        <f>IF(Q136&gt;$B$35,1,0)</f>
        <v>0</v>
      </c>
      <c r="V136" s="16">
        <f>IF((F136+G136)*$B$37&gt;$B$47*$B$36,1,0)</f>
        <v>0</v>
      </c>
      <c r="W136" s="16">
        <f>IF($B$39&gt;$B$38,1,0)</f>
        <v>0</v>
      </c>
      <c r="X136" s="16">
        <f>IF(Q136&gt;$B$55,1,0)</f>
        <v>0</v>
      </c>
      <c r="Y136" s="16">
        <f>IF($B$48&gt;$B$56,1,0)</f>
        <v>0</v>
      </c>
      <c r="Z136" s="16">
        <f>IF(L136&gt;$B$14,1,0)</f>
        <v>0</v>
      </c>
      <c r="AA136" s="16">
        <f>IF(Q136&gt;$B$15,1,0)</f>
        <v>0</v>
      </c>
      <c r="AB136" s="16">
        <f>SUM(R136:AA136)</f>
        <v>0</v>
      </c>
      <c r="AC136" s="16">
        <f>IF(AB136=0,1,0)</f>
        <v>1</v>
      </c>
      <c r="AD136" s="16">
        <f>IF(AC136=1,SUMPRODUCT(($AC$89:$AC$154=1)*($K$89:$K$154&lt;=K136)*($M$89:$M$154&lt;=M136)*($O$89:$O$154&lt;=O136)*((($K$89:$K$154&lt;K136)+($M$89:$M$154&lt;M136)+($O$89:$O$154&lt;O136))&gt;0)),"")</f>
        <v>6</v>
      </c>
      <c r="AE136" s="16">
        <f>IF(AC136=1,IF(AD136=0,1,0),0)</f>
        <v>0</v>
      </c>
      <c r="AF136" s="10">
        <f>IF(AC136=1,K136,"")</f>
        <v>8065.47</v>
      </c>
      <c r="AG136" s="10">
        <f>IF(AC136=1,M136,"")</f>
        <v>2903571.07530243</v>
      </c>
      <c r="AH136" s="10">
        <f>IF(AC136=1,O136,"")</f>
        <v>913.444719206279</v>
      </c>
      <c r="AI136" s="19">
        <f>IF($C$83=$B$83,0,ROUND((K136-$B$83)/($C$83-$B$83),4))</f>
        <v>0.8131</v>
      </c>
      <c r="AJ136" s="19">
        <f>IF($C$84=$B$84,0,ROUND((M136-$B$84)/($C$84-$B$84),4))</f>
        <v>0.8132</v>
      </c>
      <c r="AK136" s="19">
        <f>IF($C$85=$B$85,0,ROUND((O136-$B$85)/($C$85-$B$85),4))</f>
        <v>0.7884</v>
      </c>
      <c r="AL136" s="20">
        <f>ROUND(($B$22*AI136+$B$23*AJ136+$B$24*AK136)/($B$22+$B$23+$B$24),9)</f>
        <v>0.80572</v>
      </c>
      <c r="AM136" s="16">
        <f>IF(AC136=1,1+COUNTIFS($AC$89:$AC$154,1,$AL$89:$AL$154,"&lt;"&amp;AL136)+COUNTIFS($AC$88:AC135,1,$AL$88:AL135,AL136),"")</f>
        <v>12</v>
      </c>
    </row>
    <row r="137">
      <c r="A137" t="inlineStr">
        <is>
          <t>g50-30-20</t>
        </is>
      </c>
      <c r="B137" t="n">
        <v>50</v>
      </c>
      <c r="C137" t="n">
        <v>30</v>
      </c>
      <c r="D137" t="n">
        <v>20</v>
      </c>
      <c r="E137" s="10">
        <f>ROUND($B$47*B137/100,2)</f>
        <v>810000</v>
      </c>
      <c r="F137" s="10">
        <f>ROUND($B$47*C137/100,2)</f>
        <v>486000</v>
      </c>
      <c r="G137" s="10">
        <f>ROUND($B$47*D137/100,2)</f>
        <v>324000</v>
      </c>
      <c r="H137" s="10">
        <f>IF(E137&gt;0,ROUND(-PMT($B$52/1200,$B$39,E137),2),0)</f>
        <v>4056.16</v>
      </c>
      <c r="I137" s="10">
        <f>IF(F137&gt;0,ROUND(-PMT($B$53/1200,$B$39,F137),2),0)</f>
        <v>2491.45</v>
      </c>
      <c r="J137" s="10">
        <f>IF(G137&gt;0,ROUND(-PMT($B$54/1200,$B$39,G137),2),0)</f>
        <v>1565.56</v>
      </c>
      <c r="K137" s="10">
        <f>H137+I137+J137</f>
        <v>8113.17</v>
      </c>
      <c r="L137" s="10">
        <f>IF(E137&gt;0,-PMT($B$52/1200,$B$39,E137),0)+IF(F137&gt;0,-PMT($B$53/1200,$B$39,F137),0)+IF(G137&gt;0,-PMT($B$54/1200,$B$39,G137),0)</f>
        <v>8113.17772448723</v>
      </c>
      <c r="M137" s="10">
        <f>L137*$B$39</f>
        <v>2920743.9808154</v>
      </c>
      <c r="N137" s="10">
        <f>IF(E137&gt;0,-PMT($B$52/1200,$B$39,E137),0)+IF(F137&gt;0,-PMT(($B$53+$B$40)/1200,$B$39-12,F137*((1+$B$53/1200)^$B$39-(1+$B$53/1200)^12)/((1+$B$53/1200)^$B$39-1)),0)+IF(G137&gt;0,-PMT(($B$54+$B$41)/1200,$B$39-$B$42,G137*((1+$B$54/1200)^$B$39-(1+$B$54/1200)^$B$42)/((1+$B$54/1200)^$B$39-1)),0)</f>
        <v>9053.86493681244</v>
      </c>
      <c r="O137" s="10">
        <f>N137-K137</f>
        <v>940.694936812435</v>
      </c>
      <c r="P137" s="15">
        <f>C137+D137</f>
        <v>50</v>
      </c>
      <c r="Q137" s="15">
        <f>IF($B$51&gt;0,L137/$B$51*100,1000000)</f>
        <v>40.065075182653</v>
      </c>
      <c r="R137" s="16">
        <f>IF(ABS(E137+F137+G137-$B$47)&gt;0.005,1,0)</f>
        <v>0</v>
      </c>
      <c r="S137" s="16">
        <f>IF($B$45&gt;$B$46,1,0)</f>
        <v>0</v>
      </c>
      <c r="T137" s="16">
        <f>IF($B$48&gt;$B$34,1,0)</f>
        <v>0</v>
      </c>
      <c r="U137" s="16">
        <f>IF(Q137&gt;$B$35,1,0)</f>
        <v>0</v>
      </c>
      <c r="V137" s="16">
        <f>IF((F137+G137)*$B$37&gt;$B$47*$B$36,1,0)</f>
        <v>0</v>
      </c>
      <c r="W137" s="16">
        <f>IF($B$39&gt;$B$38,1,0)</f>
        <v>0</v>
      </c>
      <c r="X137" s="16">
        <f>IF(Q137&gt;$B$55,1,0)</f>
        <v>0</v>
      </c>
      <c r="Y137" s="16">
        <f>IF($B$48&gt;$B$56,1,0)</f>
        <v>0</v>
      </c>
      <c r="Z137" s="16">
        <f>IF(L137&gt;$B$14,1,0)</f>
        <v>0</v>
      </c>
      <c r="AA137" s="16">
        <f>IF(Q137&gt;$B$15,1,0)</f>
        <v>1</v>
      </c>
      <c r="AB137" s="16">
        <f>SUM(R137:AA137)</f>
        <v>1</v>
      </c>
      <c r="AC137" s="16">
        <f>IF(AB137=0,1,0)</f>
        <v>0</v>
      </c>
      <c r="AD137" s="16" t="str">
        <f>IF(AC137=1,SUMPRODUCT(($AC$89:$AC$154=1)*($K$89:$K$154&lt;=K137)*($M$89:$M$154&lt;=M137)*($O$89:$O$154&lt;=O137)*((($K$89:$K$154&lt;K137)+($M$89:$M$154&lt;M137)+($O$89:$O$154&lt;O137))&gt;0)),"")</f>
        <v/>
      </c>
      <c r="AE137" s="16">
        <f>IF(AC137=1,IF(AD137=0,1,0),0)</f>
        <v>0</v>
      </c>
      <c r="AF137" s="10" t="str">
        <f>IF(AC137=1,K137,"")</f>
        <v/>
      </c>
      <c r="AG137" s="10" t="str">
        <f>IF(AC137=1,M137,"")</f>
        <v/>
      </c>
      <c r="AH137" s="10" t="str">
        <f>IF(AC137=1,O137,"")</f>
        <v/>
      </c>
      <c r="AI137" s="19">
        <f>IF($C$83=$B$83,0,ROUND((K137-$B$83)/($C$83-$B$83),4))</f>
        <v>1.1263</v>
      </c>
      <c r="AJ137" s="19">
        <f>IF($C$84=$B$84,0,ROUND((M137-$B$84)/($C$84-$B$84),4))</f>
        <v>1.1264</v>
      </c>
      <c r="AK137" s="19">
        <f>IF($C$85=$B$85,0,ROUND((O137-$B$85)/($C$85-$B$85),4))</f>
        <v>0.8174</v>
      </c>
      <c r="AL137" s="20">
        <f>ROUND(($B$22*AI137+$B$23*AJ137+$B$24*AK137)/($B$22+$B$23+$B$24),9)</f>
        <v>1.03366</v>
      </c>
      <c r="AM137" s="16" t="str">
        <f>IF(AC137=1,1+COUNTIFS($AC$89:$AC$154,1,$AL$89:$AL$154,"&lt;"&amp;AL137)+COUNTIFS($AC$88:AC136,1,$AL$88:AL136,AL137),"")</f>
        <v/>
      </c>
    </row>
    <row r="138">
      <c r="A138" t="inlineStr">
        <is>
          <t>g50-40-10</t>
        </is>
      </c>
      <c r="B138" t="n">
        <v>50</v>
      </c>
      <c r="C138" t="n">
        <v>40</v>
      </c>
      <c r="D138" t="n">
        <v>10</v>
      </c>
      <c r="E138" s="10">
        <f>ROUND($B$47*B138/100,2)</f>
        <v>810000</v>
      </c>
      <c r="F138" s="10">
        <f>ROUND($B$47*C138/100,2)</f>
        <v>648000</v>
      </c>
      <c r="G138" s="10">
        <f>ROUND($B$47*D138/100,2)</f>
        <v>162000</v>
      </c>
      <c r="H138" s="10">
        <f>IF(E138&gt;0,ROUND(-PMT($B$52/1200,$B$39,E138),2),0)</f>
        <v>4056.16</v>
      </c>
      <c r="I138" s="10">
        <f>IF(F138&gt;0,ROUND(-PMT($B$53/1200,$B$39,F138),2),0)</f>
        <v>3321.94</v>
      </c>
      <c r="J138" s="10">
        <f>IF(G138&gt;0,ROUND(-PMT($B$54/1200,$B$39,G138),2),0)</f>
        <v>782.78</v>
      </c>
      <c r="K138" s="10">
        <f>H138+I138+J138</f>
        <v>8160.88</v>
      </c>
      <c r="L138" s="10">
        <f>IF(E138&gt;0,-PMT($B$52/1200,$B$39,E138),0)+IF(F138&gt;0,-PMT($B$53/1200,$B$39,F138),0)+IF(G138&gt;0,-PMT($B$54/1200,$B$39,G138),0)</f>
        <v>8160.88023980106</v>
      </c>
      <c r="M138" s="10">
        <f>L138*$B$39</f>
        <v>2937916.88632838</v>
      </c>
      <c r="N138" s="10">
        <f>IF(E138&gt;0,-PMT($B$52/1200,$B$39,E138),0)+IF(F138&gt;0,-PMT(($B$53+$B$40)/1200,$B$39-12,F138*((1+$B$53/1200)^$B$39-(1+$B$53/1200)^12)/((1+$B$53/1200)^$B$39-1)),0)+IF(G138&gt;0,-PMT(($B$54+$B$41)/1200,$B$39-$B$42,G138*((1+$B$54/1200)^$B$39-(1+$B$54/1200)^$B$42)/((1+$B$54/1200)^$B$39-1)),0)</f>
        <v>9128.81515441859</v>
      </c>
      <c r="O138" s="10">
        <f>N138-K138</f>
        <v>967.935154418591</v>
      </c>
      <c r="P138" s="15">
        <f>C138+D138</f>
        <v>50</v>
      </c>
      <c r="Q138" s="15">
        <f>IF($B$51&gt;0,L138/$B$51*100,1000000)</f>
        <v>40.3006431595114</v>
      </c>
      <c r="R138" s="16">
        <f>IF(ABS(E138+F138+G138-$B$47)&gt;0.005,1,0)</f>
        <v>0</v>
      </c>
      <c r="S138" s="16">
        <f>IF($B$45&gt;$B$46,1,0)</f>
        <v>0</v>
      </c>
      <c r="T138" s="16">
        <f>IF($B$48&gt;$B$34,1,0)</f>
        <v>0</v>
      </c>
      <c r="U138" s="16">
        <f>IF(Q138&gt;$B$35,1,0)</f>
        <v>0</v>
      </c>
      <c r="V138" s="16">
        <f>IF((F138+G138)*$B$37&gt;$B$47*$B$36,1,0)</f>
        <v>0</v>
      </c>
      <c r="W138" s="16">
        <f>IF($B$39&gt;$B$38,1,0)</f>
        <v>0</v>
      </c>
      <c r="X138" s="16">
        <f>IF(Q138&gt;$B$55,1,0)</f>
        <v>0</v>
      </c>
      <c r="Y138" s="16">
        <f>IF($B$48&gt;$B$56,1,0)</f>
        <v>0</v>
      </c>
      <c r="Z138" s="16">
        <f>IF(L138&gt;$B$14,1,0)</f>
        <v>0</v>
      </c>
      <c r="AA138" s="16">
        <f>IF(Q138&gt;$B$15,1,0)</f>
        <v>1</v>
      </c>
      <c r="AB138" s="16">
        <f>SUM(R138:AA138)</f>
        <v>1</v>
      </c>
      <c r="AC138" s="16">
        <f>IF(AB138=0,1,0)</f>
        <v>0</v>
      </c>
      <c r="AD138" s="16" t="str">
        <f>IF(AC138=1,SUMPRODUCT(($AC$89:$AC$154=1)*($K$89:$K$154&lt;=K138)*($M$89:$M$154&lt;=M138)*($O$89:$O$154&lt;=O138)*((($K$89:$K$154&lt;K138)+($M$89:$M$154&lt;M138)+($O$89:$O$154&lt;O138))&gt;0)),"")</f>
        <v/>
      </c>
      <c r="AE138" s="16">
        <f>IF(AC138=1,IF(AD138=0,1,0),0)</f>
        <v>0</v>
      </c>
      <c r="AF138" s="10" t="str">
        <f>IF(AC138=1,K138,"")</f>
        <v/>
      </c>
      <c r="AG138" s="10" t="str">
        <f>IF(AC138=1,M138,"")</f>
        <v/>
      </c>
      <c r="AH138" s="10" t="str">
        <f>IF(AC138=1,O138,"")</f>
        <v/>
      </c>
      <c r="AI138" s="19">
        <f>IF($C$83=$B$83,0,ROUND((K138-$B$83)/($C$83-$B$83),4))</f>
        <v>1.4396</v>
      </c>
      <c r="AJ138" s="19">
        <f>IF($C$84=$B$84,0,ROUND((M138-$B$84)/($C$84-$B$84),4))</f>
        <v>1.4396</v>
      </c>
      <c r="AK138" s="19">
        <f>IF($C$85=$B$85,0,ROUND((O138-$B$85)/($C$85-$B$85),4))</f>
        <v>0.8463</v>
      </c>
      <c r="AL138" s="20">
        <f>ROUND(($B$22*AI138+$B$23*AJ138+$B$24*AK138)/($B$22+$B$23+$B$24),9)</f>
        <v>1.26161</v>
      </c>
      <c r="AM138" s="16" t="str">
        <f>IF(AC138=1,1+COUNTIFS($AC$89:$AC$154,1,$AL$89:$AL$154,"&lt;"&amp;AL138)+COUNTIFS($AC$88:AC137,1,$AL$88:AL137,AL138),"")</f>
        <v/>
      </c>
    </row>
    <row r="139">
      <c r="A139" t="inlineStr">
        <is>
          <t>g50-50-0</t>
        </is>
      </c>
      <c r="B139" t="n">
        <v>50</v>
      </c>
      <c r="C139" t="n">
        <v>50</v>
      </c>
      <c r="D139" t="n">
        <v>0</v>
      </c>
      <c r="E139" s="10">
        <f>ROUND($B$47*B139/100,2)</f>
        <v>810000</v>
      </c>
      <c r="F139" s="10">
        <f>ROUND($B$47*C139/100,2)</f>
        <v>810000</v>
      </c>
      <c r="G139" s="10">
        <f>ROUND($B$47*D139/100,2)</f>
        <v>0</v>
      </c>
      <c r="H139" s="10">
        <f>IF(E139&gt;0,ROUND(-PMT($B$52/1200,$B$39,E139),2),0)</f>
        <v>4056.16</v>
      </c>
      <c r="I139" s="10">
        <f>IF(F139&gt;0,ROUND(-PMT($B$53/1200,$B$39,F139),2),0)</f>
        <v>4152.42</v>
      </c>
      <c r="J139" s="10">
        <f>IF(G139&gt;0,ROUND(-PMT($B$54/1200,$B$39,G139),2),0)</f>
        <v>0</v>
      </c>
      <c r="K139" s="10">
        <f>H139+I139+J139</f>
        <v>8208.58</v>
      </c>
      <c r="L139" s="10">
        <f>IF(E139&gt;0,-PMT($B$52/1200,$B$39,E139),0)+IF(F139&gt;0,-PMT($B$53/1200,$B$39,F139),0)+IF(G139&gt;0,-PMT($B$54/1200,$B$39,G139),0)</f>
        <v>8208.58275511489</v>
      </c>
      <c r="M139" s="10">
        <f>L139*$B$39</f>
        <v>2955089.79184136</v>
      </c>
      <c r="N139" s="10">
        <f>IF(E139&gt;0,-PMT($B$52/1200,$B$39,E139),0)+IF(F139&gt;0,-PMT(($B$53+$B$40)/1200,$B$39-12,F139*((1+$B$53/1200)^$B$39-(1+$B$53/1200)^12)/((1+$B$53/1200)^$B$39-1)),0)+IF(G139&gt;0,-PMT(($B$54+$B$41)/1200,$B$39-$B$42,G139*((1+$B$54/1200)^$B$39-(1+$B$54/1200)^$B$42)/((1+$B$54/1200)^$B$39-1)),0)</f>
        <v>9203.76537202475</v>
      </c>
      <c r="O139" s="10">
        <f>N139-K139</f>
        <v>995.185372024745</v>
      </c>
      <c r="P139" s="15">
        <f>C139+D139</f>
        <v>50</v>
      </c>
      <c r="Q139" s="15">
        <f>IF($B$51&gt;0,L139/$B$51*100,1000000)</f>
        <v>40.5362111363698</v>
      </c>
      <c r="R139" s="16">
        <f>IF(ABS(E139+F139+G139-$B$47)&gt;0.005,1,0)</f>
        <v>0</v>
      </c>
      <c r="S139" s="16">
        <f>IF($B$45&gt;$B$46,1,0)</f>
        <v>0</v>
      </c>
      <c r="T139" s="16">
        <f>IF($B$48&gt;$B$34,1,0)</f>
        <v>0</v>
      </c>
      <c r="U139" s="16">
        <f>IF(Q139&gt;$B$35,1,0)</f>
        <v>0</v>
      </c>
      <c r="V139" s="16">
        <f>IF((F139+G139)*$B$37&gt;$B$47*$B$36,1,0)</f>
        <v>0</v>
      </c>
      <c r="W139" s="16">
        <f>IF($B$39&gt;$B$38,1,0)</f>
        <v>0</v>
      </c>
      <c r="X139" s="16">
        <f>IF(Q139&gt;$B$55,1,0)</f>
        <v>0</v>
      </c>
      <c r="Y139" s="16">
        <f>IF($B$48&gt;$B$56,1,0)</f>
        <v>0</v>
      </c>
      <c r="Z139" s="16">
        <f>IF(L139&gt;$B$14,1,0)</f>
        <v>0</v>
      </c>
      <c r="AA139" s="16">
        <f>IF(Q139&gt;$B$15,1,0)</f>
        <v>1</v>
      </c>
      <c r="AB139" s="16">
        <f>SUM(R139:AA139)</f>
        <v>1</v>
      </c>
      <c r="AC139" s="16">
        <f>IF(AB139=0,1,0)</f>
        <v>0</v>
      </c>
      <c r="AD139" s="16" t="str">
        <f>IF(AC139=1,SUMPRODUCT(($AC$89:$AC$154=1)*($K$89:$K$154&lt;=K139)*($M$89:$M$154&lt;=M139)*($O$89:$O$154&lt;=O139)*((($K$89:$K$154&lt;K139)+($M$89:$M$154&lt;M139)+($O$89:$O$154&lt;O139))&gt;0)),"")</f>
        <v/>
      </c>
      <c r="AE139" s="16">
        <f>IF(AC139=1,IF(AD139=0,1,0),0)</f>
        <v>0</v>
      </c>
      <c r="AF139" s="10" t="str">
        <f>IF(AC139=1,K139,"")</f>
        <v/>
      </c>
      <c r="AG139" s="10" t="str">
        <f>IF(AC139=1,M139,"")</f>
        <v/>
      </c>
      <c r="AH139" s="10" t="str">
        <f>IF(AC139=1,O139,"")</f>
        <v/>
      </c>
      <c r="AI139" s="19">
        <f>IF($C$83=$B$83,0,ROUND((K139-$B$83)/($C$83-$B$83),4))</f>
        <v>1.7527</v>
      </c>
      <c r="AJ139" s="19">
        <f>IF($C$84=$B$84,0,ROUND((M139-$B$84)/($C$84-$B$84),4))</f>
        <v>1.7528</v>
      </c>
      <c r="AK139" s="19">
        <f>IF($C$85=$B$85,0,ROUND((O139-$B$85)/($C$85-$B$85),4))</f>
        <v>0.8753</v>
      </c>
      <c r="AL139" s="20">
        <f>ROUND(($B$22*AI139+$B$23*AJ139+$B$24*AK139)/($B$22+$B$23+$B$24),9)</f>
        <v>1.48951</v>
      </c>
      <c r="AM139" s="16" t="str">
        <f>IF(AC139=1,1+COUNTIFS($AC$89:$AC$154,1,$AL$89:$AL$154,"&lt;"&amp;AL139)+COUNTIFS($AC$88:AC138,1,$AL$88:AL138,AL139),"")</f>
        <v/>
      </c>
    </row>
    <row r="140">
      <c r="A140" t="inlineStr">
        <is>
          <t>g60-0-40</t>
        </is>
      </c>
      <c r="B140" t="n">
        <v>60</v>
      </c>
      <c r="C140" t="n">
        <v>0</v>
      </c>
      <c r="D140" t="n">
        <v>40</v>
      </c>
      <c r="E140" s="10">
        <f>ROUND($B$47*B140/100,2)</f>
        <v>972000</v>
      </c>
      <c r="F140" s="10">
        <f>ROUND($B$47*C140/100,2)</f>
        <v>0</v>
      </c>
      <c r="G140" s="10">
        <f>ROUND($B$47*D140/100,2)</f>
        <v>648000</v>
      </c>
      <c r="H140" s="10">
        <f>IF(E140&gt;0,ROUND(-PMT($B$52/1200,$B$39,E140),2),0)</f>
        <v>4867.4</v>
      </c>
      <c r="I140" s="10">
        <f>IF(F140&gt;0,ROUND(-PMT($B$53/1200,$B$39,F140),2),0)</f>
        <v>0</v>
      </c>
      <c r="J140" s="10">
        <f>IF(G140&gt;0,ROUND(-PMT($B$54/1200,$B$39,G140),2),0)</f>
        <v>3131.13</v>
      </c>
      <c r="K140" s="10">
        <f>H140+I140+J140</f>
        <v>7998.53</v>
      </c>
      <c r="L140" s="10">
        <f>IF(E140&gt;0,-PMT($B$52/1200,$B$39,E140),0)+IF(F140&gt;0,-PMT($B$53/1200,$B$39,F140),0)+IF(G140&gt;0,-PMT($B$54/1200,$B$39,G140),0)</f>
        <v>7998.52149188284</v>
      </c>
      <c r="M140" s="10">
        <f>L140*$B$39</f>
        <v>2879467.73707782</v>
      </c>
      <c r="N140" s="10">
        <f>IF(E140&gt;0,-PMT($B$52/1200,$B$39,E140),0)+IF(F140&gt;0,-PMT(($B$53+$B$40)/1200,$B$39-12,F140*((1+$B$53/1200)^$B$39-(1+$B$53/1200)^12)/((1+$B$53/1200)^$B$39-1)),0)+IF(G140&gt;0,-PMT(($B$54+$B$41)/1200,$B$39-$B$42,G140*((1+$B$54/1200)^$B$39-(1+$B$54/1200)^$B$42)/((1+$B$54/1200)^$B$39-1)),0)</f>
        <v>8685.67677624141</v>
      </c>
      <c r="O140" s="10">
        <f>N140-K140</f>
        <v>687.146776241413</v>
      </c>
      <c r="P140" s="15">
        <f>C140+D140</f>
        <v>40</v>
      </c>
      <c r="Q140" s="15">
        <f>IF($B$51&gt;0,L140/$B$51*100,1000000)</f>
        <v>39.4988715648535</v>
      </c>
      <c r="R140" s="16">
        <f>IF(ABS(E140+F140+G140-$B$47)&gt;0.005,1,0)</f>
        <v>0</v>
      </c>
      <c r="S140" s="16">
        <f>IF($B$45&gt;$B$46,1,0)</f>
        <v>0</v>
      </c>
      <c r="T140" s="16">
        <f>IF($B$48&gt;$B$34,1,0)</f>
        <v>0</v>
      </c>
      <c r="U140" s="16">
        <f>IF(Q140&gt;$B$35,1,0)</f>
        <v>0</v>
      </c>
      <c r="V140" s="16">
        <f>IF((F140+G140)*$B$37&gt;$B$47*$B$36,1,0)</f>
        <v>0</v>
      </c>
      <c r="W140" s="16">
        <f>IF($B$39&gt;$B$38,1,0)</f>
        <v>0</v>
      </c>
      <c r="X140" s="16">
        <f>IF(Q140&gt;$B$55,1,0)</f>
        <v>0</v>
      </c>
      <c r="Y140" s="16">
        <f>IF($B$48&gt;$B$56,1,0)</f>
        <v>0</v>
      </c>
      <c r="Z140" s="16">
        <f>IF(L140&gt;$B$14,1,0)</f>
        <v>0</v>
      </c>
      <c r="AA140" s="16">
        <f>IF(Q140&gt;$B$15,1,0)</f>
        <v>0</v>
      </c>
      <c r="AB140" s="16">
        <f>SUM(R140:AA140)</f>
        <v>0</v>
      </c>
      <c r="AC140" s="16">
        <f>IF(AB140=0,1,0)</f>
        <v>1</v>
      </c>
      <c r="AD140" s="16">
        <f>IF(AC140=1,SUMPRODUCT(($AC$89:$AC$154=1)*($K$89:$K$154&lt;=K140)*($M$89:$M$154&lt;=M140)*($O$89:$O$154&lt;=O140)*((($K$89:$K$154&lt;K140)+($M$89:$M$154&lt;M140)+($O$89:$O$154&lt;O140))&gt;0)),"")</f>
        <v>0</v>
      </c>
      <c r="AE140" s="16">
        <f>IF(AC140=1,IF(AD140=0,1,0),0)</f>
        <v>1</v>
      </c>
      <c r="AF140" s="10">
        <f>IF(AC140=1,K140,"")</f>
        <v>7998.53</v>
      </c>
      <c r="AG140" s="10">
        <f>IF(AC140=1,M140,"")</f>
        <v>2879467.73707782</v>
      </c>
      <c r="AH140" s="10">
        <f>IF(AC140=1,O140,"")</f>
        <v>687.146776241413</v>
      </c>
      <c r="AI140" s="19">
        <f>IF($C$83=$B$83,0,ROUND((K140-$B$83)/($C$83-$B$83),4))</f>
        <v>0.3736</v>
      </c>
      <c r="AJ140" s="19">
        <f>IF($C$84=$B$84,0,ROUND((M140-$B$84)/($C$84-$B$84),4))</f>
        <v>0.3736</v>
      </c>
      <c r="AK140" s="19">
        <f>IF($C$85=$B$85,0,ROUND((O140-$B$85)/($C$85-$B$85),4))</f>
        <v>0.5478</v>
      </c>
      <c r="AL140" s="20">
        <f>ROUND(($B$22*AI140+$B$23*AJ140+$B$24*AK140)/($B$22+$B$23+$B$24),9)</f>
        <v>0.42586</v>
      </c>
      <c r="AM140" s="16">
        <f>IF(AC140=1,1+COUNTIFS($AC$89:$AC$154,1,$AL$89:$AL$154,"&lt;"&amp;AL140)+COUNTIFS($AC$88:AC139,1,$AL$88:AL139,AL140),"")</f>
        <v>3</v>
      </c>
    </row>
    <row r="141">
      <c r="A141" t="inlineStr">
        <is>
          <t>g60-10-30</t>
        </is>
      </c>
      <c r="B141" t="n">
        <v>60</v>
      </c>
      <c r="C141" t="n">
        <v>10</v>
      </c>
      <c r="D141" t="n">
        <v>30</v>
      </c>
      <c r="E141" s="10">
        <f>ROUND($B$47*B141/100,2)</f>
        <v>972000</v>
      </c>
      <c r="F141" s="10">
        <f>ROUND($B$47*C141/100,2)</f>
        <v>162000</v>
      </c>
      <c r="G141" s="10">
        <f>ROUND($B$47*D141/100,2)</f>
        <v>486000</v>
      </c>
      <c r="H141" s="10">
        <f>IF(E141&gt;0,ROUND(-PMT($B$52/1200,$B$39,E141),2),0)</f>
        <v>4867.4</v>
      </c>
      <c r="I141" s="10">
        <f>IF(F141&gt;0,ROUND(-PMT($B$53/1200,$B$39,F141),2),0)</f>
        <v>830.48</v>
      </c>
      <c r="J141" s="10">
        <f>IF(G141&gt;0,ROUND(-PMT($B$54/1200,$B$39,G141),2),0)</f>
        <v>2348.34</v>
      </c>
      <c r="K141" s="10">
        <f>H141+I141+J141</f>
        <v>8046.22</v>
      </c>
      <c r="L141" s="10">
        <f>IF(E141&gt;0,-PMT($B$52/1200,$B$39,E141),0)+IF(F141&gt;0,-PMT($B$53/1200,$B$39,F141),0)+IF(G141&gt;0,-PMT($B$54/1200,$B$39,G141),0)</f>
        <v>8046.22400719666</v>
      </c>
      <c r="M141" s="10">
        <f>L141*$B$39</f>
        <v>2896640.6425908</v>
      </c>
      <c r="N141" s="10">
        <f>IF(E141&gt;0,-PMT($B$52/1200,$B$39,E141),0)+IF(F141&gt;0,-PMT(($B$53+$B$40)/1200,$B$39-12,F141*((1+$B$53/1200)^$B$39-(1+$B$53/1200)^12)/((1+$B$53/1200)^$B$39-1)),0)+IF(G141&gt;0,-PMT(($B$54+$B$41)/1200,$B$39-$B$42,G141*((1+$B$54/1200)^$B$39-(1+$B$54/1200)^$B$42)/((1+$B$54/1200)^$B$39-1)),0)</f>
        <v>8760.62699384757</v>
      </c>
      <c r="O141" s="10">
        <f>N141-K141</f>
        <v>714.40699384757</v>
      </c>
      <c r="P141" s="15">
        <f>C141+D141</f>
        <v>40</v>
      </c>
      <c r="Q141" s="15">
        <f>IF($B$51&gt;0,L141/$B$51*100,1000000)</f>
        <v>39.7344395417119</v>
      </c>
      <c r="R141" s="16">
        <f>IF(ABS(E141+F141+G141-$B$47)&gt;0.005,1,0)</f>
        <v>0</v>
      </c>
      <c r="S141" s="16">
        <f>IF($B$45&gt;$B$46,1,0)</f>
        <v>0</v>
      </c>
      <c r="T141" s="16">
        <f>IF($B$48&gt;$B$34,1,0)</f>
        <v>0</v>
      </c>
      <c r="U141" s="16">
        <f>IF(Q141&gt;$B$35,1,0)</f>
        <v>0</v>
      </c>
      <c r="V141" s="16">
        <f>IF((F141+G141)*$B$37&gt;$B$47*$B$36,1,0)</f>
        <v>0</v>
      </c>
      <c r="W141" s="16">
        <f>IF($B$39&gt;$B$38,1,0)</f>
        <v>0</v>
      </c>
      <c r="X141" s="16">
        <f>IF(Q141&gt;$B$55,1,0)</f>
        <v>0</v>
      </c>
      <c r="Y141" s="16">
        <f>IF($B$48&gt;$B$56,1,0)</f>
        <v>0</v>
      </c>
      <c r="Z141" s="16">
        <f>IF(L141&gt;$B$14,1,0)</f>
        <v>0</v>
      </c>
      <c r="AA141" s="16">
        <f>IF(Q141&gt;$B$15,1,0)</f>
        <v>0</v>
      </c>
      <c r="AB141" s="16">
        <f>SUM(R141:AA141)</f>
        <v>0</v>
      </c>
      <c r="AC141" s="16">
        <f>IF(AB141=0,1,0)</f>
        <v>1</v>
      </c>
      <c r="AD141" s="16">
        <f>IF(AC141=1,SUMPRODUCT(($AC$89:$AC$154=1)*($K$89:$K$154&lt;=K141)*($M$89:$M$154&lt;=M141)*($O$89:$O$154&lt;=O141)*((($K$89:$K$154&lt;K141)+($M$89:$M$154&lt;M141)+($O$89:$O$154&lt;O141))&gt;0)),"")</f>
        <v>2</v>
      </c>
      <c r="AE141" s="16">
        <f>IF(AC141=1,IF(AD141=0,1,0),0)</f>
        <v>0</v>
      </c>
      <c r="AF141" s="10">
        <f>IF(AC141=1,K141,"")</f>
        <v>8046.22</v>
      </c>
      <c r="AG141" s="10">
        <f>IF(AC141=1,M141,"")</f>
        <v>2896640.6425908</v>
      </c>
      <c r="AH141" s="10">
        <f>IF(AC141=1,O141,"")</f>
        <v>714.40699384757</v>
      </c>
      <c r="AI141" s="19">
        <f>IF($C$83=$B$83,0,ROUND((K141-$B$83)/($C$83-$B$83),4))</f>
        <v>0.6868</v>
      </c>
      <c r="AJ141" s="19">
        <f>IF($C$84=$B$84,0,ROUND((M141-$B$84)/($C$84-$B$84),4))</f>
        <v>0.6868</v>
      </c>
      <c r="AK141" s="19">
        <f>IF($C$85=$B$85,0,ROUND((O141-$B$85)/($C$85-$B$85),4))</f>
        <v>0.5768</v>
      </c>
      <c r="AL141" s="20">
        <f>ROUND(($B$22*AI141+$B$23*AJ141+$B$24*AK141)/($B$22+$B$23+$B$24),9)</f>
        <v>0.6538</v>
      </c>
      <c r="AM141" s="16">
        <f>IF(AC141=1,1+COUNTIFS($AC$89:$AC$154,1,$AL$89:$AL$154,"&lt;"&amp;AL141)+COUNTIFS($AC$88:AC140,1,$AL$88:AL140,AL141),"")</f>
        <v>8</v>
      </c>
    </row>
    <row r="142">
      <c r="A142" t="inlineStr">
        <is>
          <t>g60-20-20</t>
        </is>
      </c>
      <c r="B142" t="n">
        <v>60</v>
      </c>
      <c r="C142" t="n">
        <v>20</v>
      </c>
      <c r="D142" t="n">
        <v>20</v>
      </c>
      <c r="E142" s="10">
        <f>ROUND($B$47*B142/100,2)</f>
        <v>972000</v>
      </c>
      <c r="F142" s="10">
        <f>ROUND($B$47*C142/100,2)</f>
        <v>324000</v>
      </c>
      <c r="G142" s="10">
        <f>ROUND($B$47*D142/100,2)</f>
        <v>324000</v>
      </c>
      <c r="H142" s="10">
        <f>IF(E142&gt;0,ROUND(-PMT($B$52/1200,$B$39,E142),2),0)</f>
        <v>4867.4</v>
      </c>
      <c r="I142" s="10">
        <f>IF(F142&gt;0,ROUND(-PMT($B$53/1200,$B$39,F142),2),0)</f>
        <v>1660.97</v>
      </c>
      <c r="J142" s="10">
        <f>IF(G142&gt;0,ROUND(-PMT($B$54/1200,$B$39,G142),2),0)</f>
        <v>1565.56</v>
      </c>
      <c r="K142" s="10">
        <f>H142+I142+J142</f>
        <v>8093.93</v>
      </c>
      <c r="L142" s="10">
        <f>IF(E142&gt;0,-PMT($B$52/1200,$B$39,E142),0)+IF(F142&gt;0,-PMT($B$53/1200,$B$39,F142),0)+IF(G142&gt;0,-PMT($B$54/1200,$B$39,G142),0)</f>
        <v>8093.92652251049</v>
      </c>
      <c r="M142" s="10">
        <f>L142*$B$39</f>
        <v>2913813.54810378</v>
      </c>
      <c r="N142" s="10">
        <f>IF(E142&gt;0,-PMT($B$52/1200,$B$39,E142),0)+IF(F142&gt;0,-PMT(($B$53+$B$40)/1200,$B$39-12,F142*((1+$B$53/1200)^$B$39-(1+$B$53/1200)^12)/((1+$B$53/1200)^$B$39-1)),0)+IF(G142&gt;0,-PMT(($B$54+$B$41)/1200,$B$39-$B$42,G142*((1+$B$54/1200)^$B$39-(1+$B$54/1200)^$B$42)/((1+$B$54/1200)^$B$39-1)),0)</f>
        <v>8835.57721145373</v>
      </c>
      <c r="O142" s="10">
        <f>N142-K142</f>
        <v>741.647211453725</v>
      </c>
      <c r="P142" s="15">
        <f>C142+D142</f>
        <v>40</v>
      </c>
      <c r="Q142" s="15">
        <f>IF($B$51&gt;0,L142/$B$51*100,1000000)</f>
        <v>39.9700075185703</v>
      </c>
      <c r="R142" s="16">
        <f>IF(ABS(E142+F142+G142-$B$47)&gt;0.005,1,0)</f>
        <v>0</v>
      </c>
      <c r="S142" s="16">
        <f>IF($B$45&gt;$B$46,1,0)</f>
        <v>0</v>
      </c>
      <c r="T142" s="16">
        <f>IF($B$48&gt;$B$34,1,0)</f>
        <v>0</v>
      </c>
      <c r="U142" s="16">
        <f>IF(Q142&gt;$B$35,1,0)</f>
        <v>0</v>
      </c>
      <c r="V142" s="16">
        <f>IF((F142+G142)*$B$37&gt;$B$47*$B$36,1,0)</f>
        <v>0</v>
      </c>
      <c r="W142" s="16">
        <f>IF($B$39&gt;$B$38,1,0)</f>
        <v>0</v>
      </c>
      <c r="X142" s="16">
        <f>IF(Q142&gt;$B$55,1,0)</f>
        <v>0</v>
      </c>
      <c r="Y142" s="16">
        <f>IF($B$48&gt;$B$56,1,0)</f>
        <v>0</v>
      </c>
      <c r="Z142" s="16">
        <f>IF(L142&gt;$B$14,1,0)</f>
        <v>0</v>
      </c>
      <c r="AA142" s="16">
        <f>IF(Q142&gt;$B$15,1,0)</f>
        <v>0</v>
      </c>
      <c r="AB142" s="16">
        <f>SUM(R142:AA142)</f>
        <v>0</v>
      </c>
      <c r="AC142" s="16">
        <f>IF(AB142=0,1,0)</f>
        <v>1</v>
      </c>
      <c r="AD142" s="16">
        <f>IF(AC142=1,SUMPRODUCT(($AC$89:$AC$154=1)*($K$89:$K$154&lt;=K142)*($M$89:$M$154&lt;=M142)*($O$89:$O$154&lt;=O142)*((($K$89:$K$154&lt;K142)+($M$89:$M$154&lt;M142)+($O$89:$O$154&lt;O142))&gt;0)),"")</f>
        <v>6</v>
      </c>
      <c r="AE142" s="16">
        <f>IF(AC142=1,IF(AD142=0,1,0),0)</f>
        <v>0</v>
      </c>
      <c r="AF142" s="10">
        <f>IF(AC142=1,K142,"")</f>
        <v>8093.93</v>
      </c>
      <c r="AG142" s="10">
        <f>IF(AC142=1,M142,"")</f>
        <v>2913813.54810378</v>
      </c>
      <c r="AH142" s="10">
        <f>IF(AC142=1,O142,"")</f>
        <v>741.647211453725</v>
      </c>
      <c r="AI142" s="19">
        <f>IF($C$83=$B$83,0,ROUND((K142-$B$83)/($C$83-$B$83),4))</f>
        <v>1</v>
      </c>
      <c r="AJ142" s="19">
        <f>IF($C$84=$B$84,0,ROUND((M142-$B$84)/($C$84-$B$84),4))</f>
        <v>1</v>
      </c>
      <c r="AK142" s="19">
        <f>IF($C$85=$B$85,0,ROUND((O142-$B$85)/($C$85-$B$85),4))</f>
        <v>0.6058</v>
      </c>
      <c r="AL142" s="20">
        <f>ROUND(($B$22*AI142+$B$23*AJ142+$B$24*AK142)/($B$22+$B$23+$B$24),9)</f>
        <v>0.88174</v>
      </c>
      <c r="AM142" s="16">
        <f>IF(AC142=1,1+COUNTIFS($AC$89:$AC$154,1,$AL$89:$AL$154,"&lt;"&amp;AL142)+COUNTIFS($AC$88:AC141,1,$AL$88:AL141,AL142),"")</f>
        <v>13</v>
      </c>
    </row>
    <row r="143">
      <c r="A143" t="inlineStr">
        <is>
          <t>g60-30-10</t>
        </is>
      </c>
      <c r="B143" t="n">
        <v>60</v>
      </c>
      <c r="C143" t="n">
        <v>30</v>
      </c>
      <c r="D143" t="n">
        <v>10</v>
      </c>
      <c r="E143" s="10">
        <f>ROUND($B$47*B143/100,2)</f>
        <v>972000</v>
      </c>
      <c r="F143" s="10">
        <f>ROUND($B$47*C143/100,2)</f>
        <v>486000</v>
      </c>
      <c r="G143" s="10">
        <f>ROUND($B$47*D143/100,2)</f>
        <v>162000</v>
      </c>
      <c r="H143" s="10">
        <f>IF(E143&gt;0,ROUND(-PMT($B$52/1200,$B$39,E143),2),0)</f>
        <v>4867.4</v>
      </c>
      <c r="I143" s="10">
        <f>IF(F143&gt;0,ROUND(-PMT($B$53/1200,$B$39,F143),2),0)</f>
        <v>2491.45</v>
      </c>
      <c r="J143" s="10">
        <f>IF(G143&gt;0,ROUND(-PMT($B$54/1200,$B$39,G143),2),0)</f>
        <v>782.78</v>
      </c>
      <c r="K143" s="10">
        <f>H143+I143+J143</f>
        <v>8141.63</v>
      </c>
      <c r="L143" s="10">
        <f>IF(E143&gt;0,-PMT($B$52/1200,$B$39,E143),0)+IF(F143&gt;0,-PMT($B$53/1200,$B$39,F143),0)+IF(G143&gt;0,-PMT($B$54/1200,$B$39,G143),0)</f>
        <v>8141.62903782432</v>
      </c>
      <c r="M143" s="10">
        <f>L143*$B$39</f>
        <v>2930986.45361676</v>
      </c>
      <c r="N143" s="10">
        <f>IF(E143&gt;0,-PMT($B$52/1200,$B$39,E143),0)+IF(F143&gt;0,-PMT(($B$53+$B$40)/1200,$B$39-12,F143*((1+$B$53/1200)^$B$39-(1+$B$53/1200)^12)/((1+$B$53/1200)^$B$39-1)),0)+IF(G143&gt;0,-PMT(($B$54+$B$41)/1200,$B$39-$B$42,G143*((1+$B$54/1200)^$B$39-(1+$B$54/1200)^$B$42)/((1+$B$54/1200)^$B$39-1)),0)</f>
        <v>8910.52742905988</v>
      </c>
      <c r="O143" s="10">
        <f>N143-K143</f>
        <v>768.89742905988</v>
      </c>
      <c r="P143" s="15">
        <f>C143+D143</f>
        <v>40</v>
      </c>
      <c r="Q143" s="15">
        <f>IF($B$51&gt;0,L143/$B$51*100,1000000)</f>
        <v>40.2055754954288</v>
      </c>
      <c r="R143" s="16">
        <f>IF(ABS(E143+F143+G143-$B$47)&gt;0.005,1,0)</f>
        <v>0</v>
      </c>
      <c r="S143" s="16">
        <f>IF($B$45&gt;$B$46,1,0)</f>
        <v>0</v>
      </c>
      <c r="T143" s="16">
        <f>IF($B$48&gt;$B$34,1,0)</f>
        <v>0</v>
      </c>
      <c r="U143" s="16">
        <f>IF(Q143&gt;$B$35,1,0)</f>
        <v>0</v>
      </c>
      <c r="V143" s="16">
        <f>IF((F143+G143)*$B$37&gt;$B$47*$B$36,1,0)</f>
        <v>0</v>
      </c>
      <c r="W143" s="16">
        <f>IF($B$39&gt;$B$38,1,0)</f>
        <v>0</v>
      </c>
      <c r="X143" s="16">
        <f>IF(Q143&gt;$B$55,1,0)</f>
        <v>0</v>
      </c>
      <c r="Y143" s="16">
        <f>IF($B$48&gt;$B$56,1,0)</f>
        <v>0</v>
      </c>
      <c r="Z143" s="16">
        <f>IF(L143&gt;$B$14,1,0)</f>
        <v>0</v>
      </c>
      <c r="AA143" s="16">
        <f>IF(Q143&gt;$B$15,1,0)</f>
        <v>1</v>
      </c>
      <c r="AB143" s="16">
        <f>SUM(R143:AA143)</f>
        <v>1</v>
      </c>
      <c r="AC143" s="16">
        <f>IF(AB143=0,1,0)</f>
        <v>0</v>
      </c>
      <c r="AD143" s="16" t="str">
        <f>IF(AC143=1,SUMPRODUCT(($AC$89:$AC$154=1)*($K$89:$K$154&lt;=K143)*($M$89:$M$154&lt;=M143)*($O$89:$O$154&lt;=O143)*((($K$89:$K$154&lt;K143)+($M$89:$M$154&lt;M143)+($O$89:$O$154&lt;O143))&gt;0)),"")</f>
        <v/>
      </c>
      <c r="AE143" s="16">
        <f>IF(AC143=1,IF(AD143=0,1,0),0)</f>
        <v>0</v>
      </c>
      <c r="AF143" s="10" t="str">
        <f>IF(AC143=1,K143,"")</f>
        <v/>
      </c>
      <c r="AG143" s="10" t="str">
        <f>IF(AC143=1,M143,"")</f>
        <v/>
      </c>
      <c r="AH143" s="10" t="str">
        <f>IF(AC143=1,O143,"")</f>
        <v/>
      </c>
      <c r="AI143" s="19">
        <f>IF($C$83=$B$83,0,ROUND((K143-$B$83)/($C$83-$B$83),4))</f>
        <v>1.3132</v>
      </c>
      <c r="AJ143" s="19">
        <f>IF($C$84=$B$84,0,ROUND((M143-$B$84)/($C$84-$B$84),4))</f>
        <v>1.3132</v>
      </c>
      <c r="AK143" s="19">
        <f>IF($C$85=$B$85,0,ROUND((O143-$B$85)/($C$85-$B$85),4))</f>
        <v>0.6348</v>
      </c>
      <c r="AL143" s="20">
        <f>ROUND(($B$22*AI143+$B$23*AJ143+$B$24*AK143)/($B$22+$B$23+$B$24),9)</f>
        <v>1.10968</v>
      </c>
      <c r="AM143" s="16" t="str">
        <f>IF(AC143=1,1+COUNTIFS($AC$89:$AC$154,1,$AL$89:$AL$154,"&lt;"&amp;AL143)+COUNTIFS($AC$88:AC142,1,$AL$88:AL142,AL143),"")</f>
        <v/>
      </c>
    </row>
    <row r="144">
      <c r="A144" t="inlineStr">
        <is>
          <t>g60-40-0</t>
        </is>
      </c>
      <c r="B144" t="n">
        <v>60</v>
      </c>
      <c r="C144" t="n">
        <v>40</v>
      </c>
      <c r="D144" t="n">
        <v>0</v>
      </c>
      <c r="E144" s="10">
        <f>ROUND($B$47*B144/100,2)</f>
        <v>972000</v>
      </c>
      <c r="F144" s="10">
        <f>ROUND($B$47*C144/100,2)</f>
        <v>648000</v>
      </c>
      <c r="G144" s="10">
        <f>ROUND($B$47*D144/100,2)</f>
        <v>0</v>
      </c>
      <c r="H144" s="10">
        <f>IF(E144&gt;0,ROUND(-PMT($B$52/1200,$B$39,E144),2),0)</f>
        <v>4867.4</v>
      </c>
      <c r="I144" s="10">
        <f>IF(F144&gt;0,ROUND(-PMT($B$53/1200,$B$39,F144),2),0)</f>
        <v>3321.94</v>
      </c>
      <c r="J144" s="10">
        <f>IF(G144&gt;0,ROUND(-PMT($B$54/1200,$B$39,G144),2),0)</f>
        <v>0</v>
      </c>
      <c r="K144" s="10">
        <f>H144+I144+J144</f>
        <v>8189.34</v>
      </c>
      <c r="L144" s="10">
        <f>IF(E144&gt;0,-PMT($B$52/1200,$B$39,E144),0)+IF(F144&gt;0,-PMT($B$53/1200,$B$39,F144),0)+IF(G144&gt;0,-PMT($B$54/1200,$B$39,G144),0)</f>
        <v>8189.33155313815</v>
      </c>
      <c r="M144" s="10">
        <f>L144*$B$39</f>
        <v>2948159.35912974</v>
      </c>
      <c r="N144" s="10">
        <f>IF(E144&gt;0,-PMT($B$52/1200,$B$39,E144),0)+IF(F144&gt;0,-PMT(($B$53+$B$40)/1200,$B$39-12,F144*((1+$B$53/1200)^$B$39-(1+$B$53/1200)^12)/((1+$B$53/1200)^$B$39-1)),0)+IF(G144&gt;0,-PMT(($B$54+$B$41)/1200,$B$39-$B$42,G144*((1+$B$54/1200)^$B$39-(1+$B$54/1200)^$B$42)/((1+$B$54/1200)^$B$39-1)),0)</f>
        <v>8985.47764666604</v>
      </c>
      <c r="O144" s="10">
        <f>N144-K144</f>
        <v>796.137646666037</v>
      </c>
      <c r="P144" s="15">
        <f>C144+D144</f>
        <v>40</v>
      </c>
      <c r="Q144" s="15">
        <f>IF($B$51&gt;0,L144/$B$51*100,1000000)</f>
        <v>40.4411434722872</v>
      </c>
      <c r="R144" s="16">
        <f>IF(ABS(E144+F144+G144-$B$47)&gt;0.005,1,0)</f>
        <v>0</v>
      </c>
      <c r="S144" s="16">
        <f>IF($B$45&gt;$B$46,1,0)</f>
        <v>0</v>
      </c>
      <c r="T144" s="16">
        <f>IF($B$48&gt;$B$34,1,0)</f>
        <v>0</v>
      </c>
      <c r="U144" s="16">
        <f>IF(Q144&gt;$B$35,1,0)</f>
        <v>0</v>
      </c>
      <c r="V144" s="16">
        <f>IF((F144+G144)*$B$37&gt;$B$47*$B$36,1,0)</f>
        <v>0</v>
      </c>
      <c r="W144" s="16">
        <f>IF($B$39&gt;$B$38,1,0)</f>
        <v>0</v>
      </c>
      <c r="X144" s="16">
        <f>IF(Q144&gt;$B$55,1,0)</f>
        <v>0</v>
      </c>
      <c r="Y144" s="16">
        <f>IF($B$48&gt;$B$56,1,0)</f>
        <v>0</v>
      </c>
      <c r="Z144" s="16">
        <f>IF(L144&gt;$B$14,1,0)</f>
        <v>0</v>
      </c>
      <c r="AA144" s="16">
        <f>IF(Q144&gt;$B$15,1,0)</f>
        <v>1</v>
      </c>
      <c r="AB144" s="16">
        <f>SUM(R144:AA144)</f>
        <v>1</v>
      </c>
      <c r="AC144" s="16">
        <f>IF(AB144=0,1,0)</f>
        <v>0</v>
      </c>
      <c r="AD144" s="16" t="str">
        <f>IF(AC144=1,SUMPRODUCT(($AC$89:$AC$154=1)*($K$89:$K$154&lt;=K144)*($M$89:$M$154&lt;=M144)*($O$89:$O$154&lt;=O144)*((($K$89:$K$154&lt;K144)+($M$89:$M$154&lt;M144)+($O$89:$O$154&lt;O144))&gt;0)),"")</f>
        <v/>
      </c>
      <c r="AE144" s="16">
        <f>IF(AC144=1,IF(AD144=0,1,0),0)</f>
        <v>0</v>
      </c>
      <c r="AF144" s="10" t="str">
        <f>IF(AC144=1,K144,"")</f>
        <v/>
      </c>
      <c r="AG144" s="10" t="str">
        <f>IF(AC144=1,M144,"")</f>
        <v/>
      </c>
      <c r="AH144" s="10" t="str">
        <f>IF(AC144=1,O144,"")</f>
        <v/>
      </c>
      <c r="AI144" s="19">
        <f>IF($C$83=$B$83,0,ROUND((K144-$B$83)/($C$83-$B$83),4))</f>
        <v>1.6264</v>
      </c>
      <c r="AJ144" s="19">
        <f>IF($C$84=$B$84,0,ROUND((M144-$B$84)/($C$84-$B$84),4))</f>
        <v>1.6264</v>
      </c>
      <c r="AK144" s="19">
        <f>IF($C$85=$B$85,0,ROUND((O144-$B$85)/($C$85-$B$85),4))</f>
        <v>0.6637</v>
      </c>
      <c r="AL144" s="20">
        <f>ROUND(($B$22*AI144+$B$23*AJ144+$B$24*AK144)/($B$22+$B$23+$B$24),9)</f>
        <v>1.33759</v>
      </c>
      <c r="AM144" s="16" t="str">
        <f>IF(AC144=1,1+COUNTIFS($AC$89:$AC$154,1,$AL$89:$AL$154,"&lt;"&amp;AL144)+COUNTIFS($AC$88:AC143,1,$AL$88:AL143,AL144),"")</f>
        <v/>
      </c>
    </row>
    <row r="145">
      <c r="A145" t="inlineStr">
        <is>
          <t>g70-0-30</t>
        </is>
      </c>
      <c r="B145" t="n">
        <v>70</v>
      </c>
      <c r="C145" t="n">
        <v>0</v>
      </c>
      <c r="D145" t="n">
        <v>30</v>
      </c>
      <c r="E145" s="10">
        <f>ROUND($B$47*B145/100,2)</f>
        <v>1134000</v>
      </c>
      <c r="F145" s="10">
        <f>ROUND($B$47*C145/100,2)</f>
        <v>0</v>
      </c>
      <c r="G145" s="10">
        <f>ROUND($B$47*D145/100,2)</f>
        <v>486000</v>
      </c>
      <c r="H145" s="10">
        <f>IF(E145&gt;0,ROUND(-PMT($B$52/1200,$B$39,E145),2),0)</f>
        <v>5678.63</v>
      </c>
      <c r="I145" s="10">
        <f>IF(F145&gt;0,ROUND(-PMT($B$53/1200,$B$39,F145),2),0)</f>
        <v>0</v>
      </c>
      <c r="J145" s="10">
        <f>IF(G145&gt;0,ROUND(-PMT($B$54/1200,$B$39,G145),2),0)</f>
        <v>2348.34</v>
      </c>
      <c r="K145" s="10">
        <f>H145+I145+J145</f>
        <v>8026.97</v>
      </c>
      <c r="L145" s="10">
        <f>IF(E145&gt;0,-PMT($B$52/1200,$B$39,E145),0)+IF(F145&gt;0,-PMT($B$53/1200,$B$39,F145),0)+IF(G145&gt;0,-PMT($B$54/1200,$B$39,G145),0)</f>
        <v>8026.97280521992</v>
      </c>
      <c r="M145" s="10">
        <f>L145*$B$39</f>
        <v>2889710.20987917</v>
      </c>
      <c r="N145" s="10">
        <f>IF(E145&gt;0,-PMT($B$52/1200,$B$39,E145),0)+IF(F145&gt;0,-PMT(($B$53+$B$40)/1200,$B$39-12,F145*((1+$B$53/1200)^$B$39-(1+$B$53/1200)^12)/((1+$B$53/1200)^$B$39-1)),0)+IF(G145&gt;0,-PMT(($B$54+$B$41)/1200,$B$39-$B$42,G145*((1+$B$54/1200)^$B$39-(1+$B$54/1200)^$B$42)/((1+$B$54/1200)^$B$39-1)),0)</f>
        <v>8542.33926848886</v>
      </c>
      <c r="O145" s="10">
        <f>N145-K145</f>
        <v>515.369268488858</v>
      </c>
      <c r="P145" s="15">
        <f>C145+D145</f>
        <v>30</v>
      </c>
      <c r="Q145" s="15">
        <f>IF($B$51&gt;0,L145/$B$51*100,1000000)</f>
        <v>39.6393718776293</v>
      </c>
      <c r="R145" s="16">
        <f>IF(ABS(E145+F145+G145-$B$47)&gt;0.005,1,0)</f>
        <v>0</v>
      </c>
      <c r="S145" s="16">
        <f>IF($B$45&gt;$B$46,1,0)</f>
        <v>0</v>
      </c>
      <c r="T145" s="16">
        <f>IF($B$48&gt;$B$34,1,0)</f>
        <v>0</v>
      </c>
      <c r="U145" s="16">
        <f>IF(Q145&gt;$B$35,1,0)</f>
        <v>0</v>
      </c>
      <c r="V145" s="16">
        <f>IF((F145+G145)*$B$37&gt;$B$47*$B$36,1,0)</f>
        <v>0</v>
      </c>
      <c r="W145" s="16">
        <f>IF($B$39&gt;$B$38,1,0)</f>
        <v>0</v>
      </c>
      <c r="X145" s="16">
        <f>IF(Q145&gt;$B$55,1,0)</f>
        <v>0</v>
      </c>
      <c r="Y145" s="16">
        <f>IF($B$48&gt;$B$56,1,0)</f>
        <v>0</v>
      </c>
      <c r="Z145" s="16">
        <f>IF(L145&gt;$B$14,1,0)</f>
        <v>0</v>
      </c>
      <c r="AA145" s="16">
        <f>IF(Q145&gt;$B$15,1,0)</f>
        <v>0</v>
      </c>
      <c r="AB145" s="16">
        <f>SUM(R145:AA145)</f>
        <v>0</v>
      </c>
      <c r="AC145" s="16">
        <f>IF(AB145=0,1,0)</f>
        <v>1</v>
      </c>
      <c r="AD145" s="16">
        <f>IF(AC145=1,SUMPRODUCT(($AC$89:$AC$154=1)*($K$89:$K$154&lt;=K145)*($M$89:$M$154&lt;=M145)*($O$89:$O$154&lt;=O145)*((($K$89:$K$154&lt;K145)+($M$89:$M$154&lt;M145)+($O$89:$O$154&lt;O145))&gt;0)),"")</f>
        <v>0</v>
      </c>
      <c r="AE145" s="16">
        <f>IF(AC145=1,IF(AD145=0,1,0),0)</f>
        <v>1</v>
      </c>
      <c r="AF145" s="10">
        <f>IF(AC145=1,K145,"")</f>
        <v>8026.97</v>
      </c>
      <c r="AG145" s="10">
        <f>IF(AC145=1,M145,"")</f>
        <v>2889710.20987917</v>
      </c>
      <c r="AH145" s="10">
        <f>IF(AC145=1,O145,"")</f>
        <v>515.369268488858</v>
      </c>
      <c r="AI145" s="19">
        <f>IF($C$83=$B$83,0,ROUND((K145-$B$83)/($C$83-$B$83),4))</f>
        <v>0.5604</v>
      </c>
      <c r="AJ145" s="19">
        <f>IF($C$84=$B$84,0,ROUND((M145-$B$84)/($C$84-$B$84),4))</f>
        <v>0.5604</v>
      </c>
      <c r="AK145" s="19">
        <f>IF($C$85=$B$85,0,ROUND((O145-$B$85)/($C$85-$B$85),4))</f>
        <v>0.3652</v>
      </c>
      <c r="AL145" s="20">
        <f>ROUND(($B$22*AI145+$B$23*AJ145+$B$24*AK145)/($B$22+$B$23+$B$24),9)</f>
        <v>0.50184</v>
      </c>
      <c r="AM145" s="16">
        <f>IF(AC145=1,1+COUNTIFS($AC$89:$AC$154,1,$AL$89:$AL$154,"&lt;"&amp;AL145)+COUNTIFS($AC$88:AC144,1,$AL$88:AL144,AL145),"")</f>
        <v>4</v>
      </c>
    </row>
    <row r="146">
      <c r="A146" t="inlineStr">
        <is>
          <t>g70-10-20</t>
        </is>
      </c>
      <c r="B146" t="n">
        <v>70</v>
      </c>
      <c r="C146" t="n">
        <v>10</v>
      </c>
      <c r="D146" t="n">
        <v>20</v>
      </c>
      <c r="E146" s="10">
        <f>ROUND($B$47*B146/100,2)</f>
        <v>1134000</v>
      </c>
      <c r="F146" s="10">
        <f>ROUND($B$47*C146/100,2)</f>
        <v>162000</v>
      </c>
      <c r="G146" s="10">
        <f>ROUND($B$47*D146/100,2)</f>
        <v>324000</v>
      </c>
      <c r="H146" s="10">
        <f>IF(E146&gt;0,ROUND(-PMT($B$52/1200,$B$39,E146),2),0)</f>
        <v>5678.63</v>
      </c>
      <c r="I146" s="10">
        <f>IF(F146&gt;0,ROUND(-PMT($B$53/1200,$B$39,F146),2),0)</f>
        <v>830.48</v>
      </c>
      <c r="J146" s="10">
        <f>IF(G146&gt;0,ROUND(-PMT($B$54/1200,$B$39,G146),2),0)</f>
        <v>1565.56</v>
      </c>
      <c r="K146" s="10">
        <f>H146+I146+J146</f>
        <v>8074.67</v>
      </c>
      <c r="L146" s="10">
        <f>IF(E146&gt;0,-PMT($B$52/1200,$B$39,E146),0)+IF(F146&gt;0,-PMT($B$53/1200,$B$39,F146),0)+IF(G146&gt;0,-PMT($B$54/1200,$B$39,G146),0)</f>
        <v>8074.67532053375</v>
      </c>
      <c r="M146" s="10">
        <f>L146*$B$39</f>
        <v>2906883.11539215</v>
      </c>
      <c r="N146" s="10">
        <f>IF(E146&gt;0,-PMT($B$52/1200,$B$39,E146),0)+IF(F146&gt;0,-PMT(($B$53+$B$40)/1200,$B$39-12,F146*((1+$B$53/1200)^$B$39-(1+$B$53/1200)^12)/((1+$B$53/1200)^$B$39-1)),0)+IF(G146&gt;0,-PMT(($B$54+$B$41)/1200,$B$39-$B$42,G146*((1+$B$54/1200)^$B$39-(1+$B$54/1200)^$B$42)/((1+$B$54/1200)^$B$39-1)),0)</f>
        <v>8617.28948609502</v>
      </c>
      <c r="O146" s="10">
        <f>N146-K146</f>
        <v>542.619486095015</v>
      </c>
      <c r="P146" s="15">
        <f>C146+D146</f>
        <v>30</v>
      </c>
      <c r="Q146" s="15">
        <f>IF($B$51&gt;0,L146/$B$51*100,1000000)</f>
        <v>39.8749398544877</v>
      </c>
      <c r="R146" s="16">
        <f>IF(ABS(E146+F146+G146-$B$47)&gt;0.005,1,0)</f>
        <v>0</v>
      </c>
      <c r="S146" s="16">
        <f>IF($B$45&gt;$B$46,1,0)</f>
        <v>0</v>
      </c>
      <c r="T146" s="16">
        <f>IF($B$48&gt;$B$34,1,0)</f>
        <v>0</v>
      </c>
      <c r="U146" s="16">
        <f>IF(Q146&gt;$B$35,1,0)</f>
        <v>0</v>
      </c>
      <c r="V146" s="16">
        <f>IF((F146+G146)*$B$37&gt;$B$47*$B$36,1,0)</f>
        <v>0</v>
      </c>
      <c r="W146" s="16">
        <f>IF($B$39&gt;$B$38,1,0)</f>
        <v>0</v>
      </c>
      <c r="X146" s="16">
        <f>IF(Q146&gt;$B$55,1,0)</f>
        <v>0</v>
      </c>
      <c r="Y146" s="16">
        <f>IF($B$48&gt;$B$56,1,0)</f>
        <v>0</v>
      </c>
      <c r="Z146" s="16">
        <f>IF(L146&gt;$B$14,1,0)</f>
        <v>0</v>
      </c>
      <c r="AA146" s="16">
        <f>IF(Q146&gt;$B$15,1,0)</f>
        <v>0</v>
      </c>
      <c r="AB146" s="16">
        <f>SUM(R146:AA146)</f>
        <v>0</v>
      </c>
      <c r="AC146" s="16">
        <f>IF(AB146=0,1,0)</f>
        <v>1</v>
      </c>
      <c r="AD146" s="16">
        <f>IF(AC146=1,SUMPRODUCT(($AC$89:$AC$154=1)*($K$89:$K$154&lt;=K146)*($M$89:$M$154&lt;=M146)*($O$89:$O$154&lt;=O146)*((($K$89:$K$154&lt;K146)+($M$89:$M$154&lt;M146)+($O$89:$O$154&lt;O146))&gt;0)),"")</f>
        <v>2</v>
      </c>
      <c r="AE146" s="16">
        <f>IF(AC146=1,IF(AD146=0,1,0),0)</f>
        <v>0</v>
      </c>
      <c r="AF146" s="10">
        <f>IF(AC146=1,K146,"")</f>
        <v>8074.67</v>
      </c>
      <c r="AG146" s="10">
        <f>IF(AC146=1,M146,"")</f>
        <v>2906883.11539215</v>
      </c>
      <c r="AH146" s="10">
        <f>IF(AC146=1,O146,"")</f>
        <v>542.619486095015</v>
      </c>
      <c r="AI146" s="19">
        <f>IF($C$83=$B$83,0,ROUND((K146-$B$83)/($C$83-$B$83),4))</f>
        <v>0.8735</v>
      </c>
      <c r="AJ146" s="19">
        <f>IF($C$84=$B$84,0,ROUND((M146-$B$84)/($C$84-$B$84),4))</f>
        <v>0.8736</v>
      </c>
      <c r="AK146" s="19">
        <f>IF($C$85=$B$85,0,ROUND((O146-$B$85)/($C$85-$B$85),4))</f>
        <v>0.3942</v>
      </c>
      <c r="AL146" s="20">
        <f>ROUND(($B$22*AI146+$B$23*AJ146+$B$24*AK146)/($B$22+$B$23+$B$24),9)</f>
        <v>0.72974</v>
      </c>
      <c r="AM146" s="16">
        <f>IF(AC146=1,1+COUNTIFS($AC$89:$AC$154,1,$AL$89:$AL$154,"&lt;"&amp;AL146)+COUNTIFS($AC$88:AC145,1,$AL$88:AL145,AL146),"")</f>
        <v>10</v>
      </c>
    </row>
    <row r="147">
      <c r="A147" t="inlineStr">
        <is>
          <t>g70-20-10</t>
        </is>
      </c>
      <c r="B147" t="n">
        <v>70</v>
      </c>
      <c r="C147" t="n">
        <v>20</v>
      </c>
      <c r="D147" t="n">
        <v>10</v>
      </c>
      <c r="E147" s="10">
        <f>ROUND($B$47*B147/100,2)</f>
        <v>1134000</v>
      </c>
      <c r="F147" s="10">
        <f>ROUND($B$47*C147/100,2)</f>
        <v>324000</v>
      </c>
      <c r="G147" s="10">
        <f>ROUND($B$47*D147/100,2)</f>
        <v>162000</v>
      </c>
      <c r="H147" s="10">
        <f>IF(E147&gt;0,ROUND(-PMT($B$52/1200,$B$39,E147),2),0)</f>
        <v>5678.63</v>
      </c>
      <c r="I147" s="10">
        <f>IF(F147&gt;0,ROUND(-PMT($B$53/1200,$B$39,F147),2),0)</f>
        <v>1660.97</v>
      </c>
      <c r="J147" s="10">
        <f>IF(G147&gt;0,ROUND(-PMT($B$54/1200,$B$39,G147),2),0)</f>
        <v>782.78</v>
      </c>
      <c r="K147" s="10">
        <f>H147+I147+J147</f>
        <v>8122.38</v>
      </c>
      <c r="L147" s="10">
        <f>IF(E147&gt;0,-PMT($B$52/1200,$B$39,E147),0)+IF(F147&gt;0,-PMT($B$53/1200,$B$39,F147),0)+IF(G147&gt;0,-PMT($B$54/1200,$B$39,G147),0)</f>
        <v>8122.37783584758</v>
      </c>
      <c r="M147" s="10">
        <f>L147*$B$39</f>
        <v>2924056.02090513</v>
      </c>
      <c r="N147" s="10">
        <f>IF(E147&gt;0,-PMT($B$52/1200,$B$39,E147),0)+IF(F147&gt;0,-PMT(($B$53+$B$40)/1200,$B$39-12,F147*((1+$B$53/1200)^$B$39-(1+$B$53/1200)^12)/((1+$B$53/1200)^$B$39-1)),0)+IF(G147&gt;0,-PMT(($B$54+$B$41)/1200,$B$39-$B$42,G147*((1+$B$54/1200)^$B$39-(1+$B$54/1200)^$B$42)/((1+$B$54/1200)^$B$39-1)),0)</f>
        <v>8692.23970370117</v>
      </c>
      <c r="O147" s="10">
        <f>N147-K147</f>
        <v>569.859703701169</v>
      </c>
      <c r="P147" s="15">
        <f>C147+D147</f>
        <v>30</v>
      </c>
      <c r="Q147" s="15">
        <f>IF($B$51&gt;0,L147/$B$51*100,1000000)</f>
        <v>40.1105078313461</v>
      </c>
      <c r="R147" s="16">
        <f>IF(ABS(E147+F147+G147-$B$47)&gt;0.005,1,0)</f>
        <v>0</v>
      </c>
      <c r="S147" s="16">
        <f>IF($B$45&gt;$B$46,1,0)</f>
        <v>0</v>
      </c>
      <c r="T147" s="16">
        <f>IF($B$48&gt;$B$34,1,0)</f>
        <v>0</v>
      </c>
      <c r="U147" s="16">
        <f>IF(Q147&gt;$B$35,1,0)</f>
        <v>0</v>
      </c>
      <c r="V147" s="16">
        <f>IF((F147+G147)*$B$37&gt;$B$47*$B$36,1,0)</f>
        <v>0</v>
      </c>
      <c r="W147" s="16">
        <f>IF($B$39&gt;$B$38,1,0)</f>
        <v>0</v>
      </c>
      <c r="X147" s="16">
        <f>IF(Q147&gt;$B$55,1,0)</f>
        <v>0</v>
      </c>
      <c r="Y147" s="16">
        <f>IF($B$48&gt;$B$56,1,0)</f>
        <v>0</v>
      </c>
      <c r="Z147" s="16">
        <f>IF(L147&gt;$B$14,1,0)</f>
        <v>0</v>
      </c>
      <c r="AA147" s="16">
        <f>IF(Q147&gt;$B$15,1,0)</f>
        <v>1</v>
      </c>
      <c r="AB147" s="16">
        <f>SUM(R147:AA147)</f>
        <v>1</v>
      </c>
      <c r="AC147" s="16">
        <f>IF(AB147=0,1,0)</f>
        <v>0</v>
      </c>
      <c r="AD147" s="16" t="str">
        <f>IF(AC147=1,SUMPRODUCT(($AC$89:$AC$154=1)*($K$89:$K$154&lt;=K147)*($M$89:$M$154&lt;=M147)*($O$89:$O$154&lt;=O147)*((($K$89:$K$154&lt;K147)+($M$89:$M$154&lt;M147)+($O$89:$O$154&lt;O147))&gt;0)),"")</f>
        <v/>
      </c>
      <c r="AE147" s="16">
        <f>IF(AC147=1,IF(AD147=0,1,0),0)</f>
        <v>0</v>
      </c>
      <c r="AF147" s="10" t="str">
        <f>IF(AC147=1,K147,"")</f>
        <v/>
      </c>
      <c r="AG147" s="10" t="str">
        <f>IF(AC147=1,M147,"")</f>
        <v/>
      </c>
      <c r="AH147" s="10" t="str">
        <f>IF(AC147=1,O147,"")</f>
        <v/>
      </c>
      <c r="AI147" s="19">
        <f>IF($C$83=$B$83,0,ROUND((K147-$B$83)/($C$83-$B$83),4))</f>
        <v>1.1868</v>
      </c>
      <c r="AJ147" s="19">
        <f>IF($C$84=$B$84,0,ROUND((M147-$B$84)/($C$84-$B$84),4))</f>
        <v>1.1868</v>
      </c>
      <c r="AK147" s="19">
        <f>IF($C$85=$B$85,0,ROUND((O147-$B$85)/($C$85-$B$85),4))</f>
        <v>0.4232</v>
      </c>
      <c r="AL147" s="20">
        <f>ROUND(($B$22*AI147+$B$23*AJ147+$B$24*AK147)/($B$22+$B$23+$B$24),9)</f>
        <v>0.95772</v>
      </c>
      <c r="AM147" s="16" t="str">
        <f>IF(AC147=1,1+COUNTIFS($AC$89:$AC$154,1,$AL$89:$AL$154,"&lt;"&amp;AL147)+COUNTIFS($AC$88:AC146,1,$AL$88:AL146,AL147),"")</f>
        <v/>
      </c>
    </row>
    <row r="148">
      <c r="A148" t="inlineStr">
        <is>
          <t>g70-30-0</t>
        </is>
      </c>
      <c r="B148" t="n">
        <v>70</v>
      </c>
      <c r="C148" t="n">
        <v>30</v>
      </c>
      <c r="D148" t="n">
        <v>0</v>
      </c>
      <c r="E148" s="10">
        <f>ROUND($B$47*B148/100,2)</f>
        <v>1134000</v>
      </c>
      <c r="F148" s="10">
        <f>ROUND($B$47*C148/100,2)</f>
        <v>486000</v>
      </c>
      <c r="G148" s="10">
        <f>ROUND($B$47*D148/100,2)</f>
        <v>0</v>
      </c>
      <c r="H148" s="10">
        <f>IF(E148&gt;0,ROUND(-PMT($B$52/1200,$B$39,E148),2),0)</f>
        <v>5678.63</v>
      </c>
      <c r="I148" s="10">
        <f>IF(F148&gt;0,ROUND(-PMT($B$53/1200,$B$39,F148),2),0)</f>
        <v>2491.45</v>
      </c>
      <c r="J148" s="10">
        <f>IF(G148&gt;0,ROUND(-PMT($B$54/1200,$B$39,G148),2),0)</f>
        <v>0</v>
      </c>
      <c r="K148" s="10">
        <f>H148+I148+J148</f>
        <v>8170.08</v>
      </c>
      <c r="L148" s="10">
        <f>IF(E148&gt;0,-PMT($B$52/1200,$B$39,E148),0)+IF(F148&gt;0,-PMT($B$53/1200,$B$39,F148),0)+IF(G148&gt;0,-PMT($B$54/1200,$B$39,G148),0)</f>
        <v>8170.08035116141</v>
      </c>
      <c r="M148" s="10">
        <f>L148*$B$39</f>
        <v>2941228.92641811</v>
      </c>
      <c r="N148" s="10">
        <f>IF(E148&gt;0,-PMT($B$52/1200,$B$39,E148),0)+IF(F148&gt;0,-PMT(($B$53+$B$40)/1200,$B$39-12,F148*((1+$B$53/1200)^$B$39-(1+$B$53/1200)^12)/((1+$B$53/1200)^$B$39-1)),0)+IF(G148&gt;0,-PMT(($B$54+$B$41)/1200,$B$39-$B$42,G148*((1+$B$54/1200)^$B$39-(1+$B$54/1200)^$B$42)/((1+$B$54/1200)^$B$39-1)),0)</f>
        <v>8767.18992130733</v>
      </c>
      <c r="O148" s="10">
        <f>N148-K148</f>
        <v>597.109921307325</v>
      </c>
      <c r="P148" s="15">
        <f>C148+D148</f>
        <v>30</v>
      </c>
      <c r="Q148" s="15">
        <f>IF($B$51&gt;0,L148/$B$51*100,1000000)</f>
        <v>40.3460758082045</v>
      </c>
      <c r="R148" s="16">
        <f>IF(ABS(E148+F148+G148-$B$47)&gt;0.005,1,0)</f>
        <v>0</v>
      </c>
      <c r="S148" s="16">
        <f>IF($B$45&gt;$B$46,1,0)</f>
        <v>0</v>
      </c>
      <c r="T148" s="16">
        <f>IF($B$48&gt;$B$34,1,0)</f>
        <v>0</v>
      </c>
      <c r="U148" s="16">
        <f>IF(Q148&gt;$B$35,1,0)</f>
        <v>0</v>
      </c>
      <c r="V148" s="16">
        <f>IF((F148+G148)*$B$37&gt;$B$47*$B$36,1,0)</f>
        <v>0</v>
      </c>
      <c r="W148" s="16">
        <f>IF($B$39&gt;$B$38,1,0)</f>
        <v>0</v>
      </c>
      <c r="X148" s="16">
        <f>IF(Q148&gt;$B$55,1,0)</f>
        <v>0</v>
      </c>
      <c r="Y148" s="16">
        <f>IF($B$48&gt;$B$56,1,0)</f>
        <v>0</v>
      </c>
      <c r="Z148" s="16">
        <f>IF(L148&gt;$B$14,1,0)</f>
        <v>0</v>
      </c>
      <c r="AA148" s="16">
        <f>IF(Q148&gt;$B$15,1,0)</f>
        <v>1</v>
      </c>
      <c r="AB148" s="16">
        <f>SUM(R148:AA148)</f>
        <v>1</v>
      </c>
      <c r="AC148" s="16">
        <f>IF(AB148=0,1,0)</f>
        <v>0</v>
      </c>
      <c r="AD148" s="16" t="str">
        <f>IF(AC148=1,SUMPRODUCT(($AC$89:$AC$154=1)*($K$89:$K$154&lt;=K148)*($M$89:$M$154&lt;=M148)*($O$89:$O$154&lt;=O148)*((($K$89:$K$154&lt;K148)+($M$89:$M$154&lt;M148)+($O$89:$O$154&lt;O148))&gt;0)),"")</f>
        <v/>
      </c>
      <c r="AE148" s="16">
        <f>IF(AC148=1,IF(AD148=0,1,0),0)</f>
        <v>0</v>
      </c>
      <c r="AF148" s="10" t="str">
        <f>IF(AC148=1,K148,"")</f>
        <v/>
      </c>
      <c r="AG148" s="10" t="str">
        <f>IF(AC148=1,M148,"")</f>
        <v/>
      </c>
      <c r="AH148" s="10" t="str">
        <f>IF(AC148=1,O148,"")</f>
        <v/>
      </c>
      <c r="AI148" s="19">
        <f>IF($C$83=$B$83,0,ROUND((K148-$B$83)/($C$83-$B$83),4))</f>
        <v>1.5</v>
      </c>
      <c r="AJ148" s="19">
        <f>IF($C$84=$B$84,0,ROUND((M148-$B$84)/($C$84-$B$84),4))</f>
        <v>1.5</v>
      </c>
      <c r="AK148" s="19">
        <f>IF($C$85=$B$85,0,ROUND((O148-$B$85)/($C$85-$B$85),4))</f>
        <v>0.4521</v>
      </c>
      <c r="AL148" s="20">
        <f>ROUND(($B$22*AI148+$B$23*AJ148+$B$24*AK148)/($B$22+$B$23+$B$24),9)</f>
        <v>1.18563</v>
      </c>
      <c r="AM148" s="16" t="str">
        <f>IF(AC148=1,1+COUNTIFS($AC$89:$AC$154,1,$AL$89:$AL$154,"&lt;"&amp;AL148)+COUNTIFS($AC$88:AC147,1,$AL$88:AL147,AL148),"")</f>
        <v/>
      </c>
    </row>
    <row r="149">
      <c r="A149" t="inlineStr">
        <is>
          <t>g80-0-20</t>
        </is>
      </c>
      <c r="B149" t="n">
        <v>80</v>
      </c>
      <c r="C149" t="n">
        <v>0</v>
      </c>
      <c r="D149" t="n">
        <v>20</v>
      </c>
      <c r="E149" s="10">
        <f>ROUND($B$47*B149/100,2)</f>
        <v>1296000</v>
      </c>
      <c r="F149" s="10">
        <f>ROUND($B$47*C149/100,2)</f>
        <v>0</v>
      </c>
      <c r="G149" s="10">
        <f>ROUND($B$47*D149/100,2)</f>
        <v>324000</v>
      </c>
      <c r="H149" s="10">
        <f>IF(E149&gt;0,ROUND(-PMT($B$52/1200,$B$39,E149),2),0)</f>
        <v>6489.86</v>
      </c>
      <c r="I149" s="10">
        <f>IF(F149&gt;0,ROUND(-PMT($B$53/1200,$B$39,F149),2),0)</f>
        <v>0</v>
      </c>
      <c r="J149" s="10">
        <f>IF(G149&gt;0,ROUND(-PMT($B$54/1200,$B$39,G149),2),0)</f>
        <v>1565.56</v>
      </c>
      <c r="K149" s="10">
        <f>H149+I149+J149</f>
        <v>8055.42</v>
      </c>
      <c r="L149" s="10">
        <f>IF(E149&gt;0,-PMT($B$52/1200,$B$39,E149),0)+IF(F149&gt;0,-PMT($B$53/1200,$B$39,F149),0)+IF(G149&gt;0,-PMT($B$54/1200,$B$39,G149),0)</f>
        <v>8055.42411855701</v>
      </c>
      <c r="M149" s="10">
        <f>L149*$B$39</f>
        <v>2899952.68268053</v>
      </c>
      <c r="N149" s="10">
        <f>IF(E149&gt;0,-PMT($B$52/1200,$B$39,E149),0)+IF(F149&gt;0,-PMT(($B$53+$B$40)/1200,$B$39-12,F149*((1+$B$53/1200)^$B$39-(1+$B$53/1200)^12)/((1+$B$53/1200)^$B$39-1)),0)+IF(G149&gt;0,-PMT(($B$54+$B$41)/1200,$B$39-$B$42,G149*((1+$B$54/1200)^$B$39-(1+$B$54/1200)^$B$42)/((1+$B$54/1200)^$B$39-1)),0)</f>
        <v>8399.0017607363</v>
      </c>
      <c r="O149" s="10">
        <f>N149-K149</f>
        <v>343.581760736304</v>
      </c>
      <c r="P149" s="15">
        <f>C149+D149</f>
        <v>20</v>
      </c>
      <c r="Q149" s="15">
        <f>IF($B$51&gt;0,L149/$B$51*100,1000000)</f>
        <v>39.779872190405</v>
      </c>
      <c r="R149" s="16">
        <f>IF(ABS(E149+F149+G149-$B$47)&gt;0.005,1,0)</f>
        <v>0</v>
      </c>
      <c r="S149" s="16">
        <f>IF($B$45&gt;$B$46,1,0)</f>
        <v>0</v>
      </c>
      <c r="T149" s="16">
        <f>IF($B$48&gt;$B$34,1,0)</f>
        <v>0</v>
      </c>
      <c r="U149" s="16">
        <f>IF(Q149&gt;$B$35,1,0)</f>
        <v>0</v>
      </c>
      <c r="V149" s="16">
        <f>IF((F149+G149)*$B$37&gt;$B$47*$B$36,1,0)</f>
        <v>0</v>
      </c>
      <c r="W149" s="16">
        <f>IF($B$39&gt;$B$38,1,0)</f>
        <v>0</v>
      </c>
      <c r="X149" s="16">
        <f>IF(Q149&gt;$B$55,1,0)</f>
        <v>0</v>
      </c>
      <c r="Y149" s="16">
        <f>IF($B$48&gt;$B$56,1,0)</f>
        <v>0</v>
      </c>
      <c r="Z149" s="16">
        <f>IF(L149&gt;$B$14,1,0)</f>
        <v>0</v>
      </c>
      <c r="AA149" s="16">
        <f>IF(Q149&gt;$B$15,1,0)</f>
        <v>0</v>
      </c>
      <c r="AB149" s="16">
        <f>SUM(R149:AA149)</f>
        <v>0</v>
      </c>
      <c r="AC149" s="16">
        <f>IF(AB149=0,1,0)</f>
        <v>1</v>
      </c>
      <c r="AD149" s="16">
        <f>IF(AC149=1,SUMPRODUCT(($AC$89:$AC$154=1)*($K$89:$K$154&lt;=K149)*($M$89:$M$154&lt;=M149)*($O$89:$O$154&lt;=O149)*((($K$89:$K$154&lt;K149)+($M$89:$M$154&lt;M149)+($O$89:$O$154&lt;O149))&gt;0)),"")</f>
        <v>0</v>
      </c>
      <c r="AE149" s="16">
        <f>IF(AC149=1,IF(AD149=0,1,0),0)</f>
        <v>1</v>
      </c>
      <c r="AF149" s="10">
        <f>IF(AC149=1,K149,"")</f>
        <v>8055.42</v>
      </c>
      <c r="AG149" s="10">
        <f>IF(AC149=1,M149,"")</f>
        <v>2899952.68268053</v>
      </c>
      <c r="AH149" s="10">
        <f>IF(AC149=1,O149,"")</f>
        <v>343.581760736304</v>
      </c>
      <c r="AI149" s="19">
        <f>IF($C$83=$B$83,0,ROUND((K149-$B$83)/($C$83-$B$83),4))</f>
        <v>0.7472</v>
      </c>
      <c r="AJ149" s="19">
        <f>IF($C$84=$B$84,0,ROUND((M149-$B$84)/($C$84-$B$84),4))</f>
        <v>0.7472</v>
      </c>
      <c r="AK149" s="19">
        <f>IF($C$85=$B$85,0,ROUND((O149-$B$85)/($C$85-$B$85),4))</f>
        <v>0.1826</v>
      </c>
      <c r="AL149" s="20">
        <f>ROUND(($B$22*AI149+$B$23*AJ149+$B$24*AK149)/($B$22+$B$23+$B$24),9)</f>
        <v>0.57782</v>
      </c>
      <c r="AM149" s="16">
        <f>IF(AC149=1,1+COUNTIFS($AC$89:$AC$154,1,$AL$89:$AL$154,"&lt;"&amp;AL149)+COUNTIFS($AC$88:AC148,1,$AL$88:AL148,AL149),"")</f>
        <v>7</v>
      </c>
    </row>
    <row r="150">
      <c r="A150" t="inlineStr">
        <is>
          <t>g80-10-10</t>
        </is>
      </c>
      <c r="B150" t="n">
        <v>80</v>
      </c>
      <c r="C150" t="n">
        <v>10</v>
      </c>
      <c r="D150" t="n">
        <v>10</v>
      </c>
      <c r="E150" s="10">
        <f>ROUND($B$47*B150/100,2)</f>
        <v>1296000</v>
      </c>
      <c r="F150" s="10">
        <f>ROUND($B$47*C150/100,2)</f>
        <v>162000</v>
      </c>
      <c r="G150" s="10">
        <f>ROUND($B$47*D150/100,2)</f>
        <v>162000</v>
      </c>
      <c r="H150" s="10">
        <f>IF(E150&gt;0,ROUND(-PMT($B$52/1200,$B$39,E150),2),0)</f>
        <v>6489.86</v>
      </c>
      <c r="I150" s="10">
        <f>IF(F150&gt;0,ROUND(-PMT($B$53/1200,$B$39,F150),2),0)</f>
        <v>830.48</v>
      </c>
      <c r="J150" s="10">
        <f>IF(G150&gt;0,ROUND(-PMT($B$54/1200,$B$39,G150),2),0)</f>
        <v>782.78</v>
      </c>
      <c r="K150" s="10">
        <f>H150+I150+J150</f>
        <v>8103.12</v>
      </c>
      <c r="L150" s="10">
        <f>IF(E150&gt;0,-PMT($B$52/1200,$B$39,E150),0)+IF(F150&gt;0,-PMT($B$53/1200,$B$39,F150),0)+IF(G150&gt;0,-PMT($B$54/1200,$B$39,G150),0)</f>
        <v>8103.12663387084</v>
      </c>
      <c r="M150" s="10">
        <f>L150*$B$39</f>
        <v>2917125.5881935</v>
      </c>
      <c r="N150" s="10">
        <f>IF(E150&gt;0,-PMT($B$52/1200,$B$39,E150),0)+IF(F150&gt;0,-PMT(($B$53+$B$40)/1200,$B$39-12,F150*((1+$B$53/1200)^$B$39-(1+$B$53/1200)^12)/((1+$B$53/1200)^$B$39-1)),0)+IF(G150&gt;0,-PMT(($B$54+$B$41)/1200,$B$39-$B$42,G150*((1+$B$54/1200)^$B$39-(1+$B$54/1200)^$B$42)/((1+$B$54/1200)^$B$39-1)),0)</f>
        <v>8473.95197834246</v>
      </c>
      <c r="O150" s="10">
        <f>N150-K150</f>
        <v>370.831978342459</v>
      </c>
      <c r="P150" s="15">
        <f>C150+D150</f>
        <v>20</v>
      </c>
      <c r="Q150" s="15">
        <f>IF($B$51&gt;0,L150/$B$51*100,1000000)</f>
        <v>40.0154401672634</v>
      </c>
      <c r="R150" s="16">
        <f>IF(ABS(E150+F150+G150-$B$47)&gt;0.005,1,0)</f>
        <v>0</v>
      </c>
      <c r="S150" s="16">
        <f>IF($B$45&gt;$B$46,1,0)</f>
        <v>0</v>
      </c>
      <c r="T150" s="16">
        <f>IF($B$48&gt;$B$34,1,0)</f>
        <v>0</v>
      </c>
      <c r="U150" s="16">
        <f>IF(Q150&gt;$B$35,1,0)</f>
        <v>0</v>
      </c>
      <c r="V150" s="16">
        <f>IF((F150+G150)*$B$37&gt;$B$47*$B$36,1,0)</f>
        <v>0</v>
      </c>
      <c r="W150" s="16">
        <f>IF($B$39&gt;$B$38,1,0)</f>
        <v>0</v>
      </c>
      <c r="X150" s="16">
        <f>IF(Q150&gt;$B$55,1,0)</f>
        <v>0</v>
      </c>
      <c r="Y150" s="16">
        <f>IF($B$48&gt;$B$56,1,0)</f>
        <v>0</v>
      </c>
      <c r="Z150" s="16">
        <f>IF(L150&gt;$B$14,1,0)</f>
        <v>0</v>
      </c>
      <c r="AA150" s="16">
        <f>IF(Q150&gt;$B$15,1,0)</f>
        <v>1</v>
      </c>
      <c r="AB150" s="16">
        <f>SUM(R150:AA150)</f>
        <v>1</v>
      </c>
      <c r="AC150" s="16">
        <f>IF(AB150=0,1,0)</f>
        <v>0</v>
      </c>
      <c r="AD150" s="16" t="str">
        <f>IF(AC150=1,SUMPRODUCT(($AC$89:$AC$154=1)*($K$89:$K$154&lt;=K150)*($M$89:$M$154&lt;=M150)*($O$89:$O$154&lt;=O150)*((($K$89:$K$154&lt;K150)+($M$89:$M$154&lt;M150)+($O$89:$O$154&lt;O150))&gt;0)),"")</f>
        <v/>
      </c>
      <c r="AE150" s="16">
        <f>IF(AC150=1,IF(AD150=0,1,0),0)</f>
        <v>0</v>
      </c>
      <c r="AF150" s="10" t="str">
        <f>IF(AC150=1,K150,"")</f>
        <v/>
      </c>
      <c r="AG150" s="10" t="str">
        <f>IF(AC150=1,M150,"")</f>
        <v/>
      </c>
      <c r="AH150" s="10" t="str">
        <f>IF(AC150=1,O150,"")</f>
        <v/>
      </c>
      <c r="AI150" s="19">
        <f>IF($C$83=$B$83,0,ROUND((K150-$B$83)/($C$83-$B$83),4))</f>
        <v>1.0603</v>
      </c>
      <c r="AJ150" s="19">
        <f>IF($C$84=$B$84,0,ROUND((M150-$B$84)/($C$84-$B$84),4))</f>
        <v>1.0604</v>
      </c>
      <c r="AK150" s="19">
        <f>IF($C$85=$B$85,0,ROUND((O150-$B$85)/($C$85-$B$85),4))</f>
        <v>0.2116</v>
      </c>
      <c r="AL150" s="20">
        <f>ROUND(($B$22*AI150+$B$23*AJ150+$B$24*AK150)/($B$22+$B$23+$B$24),9)</f>
        <v>0.80572</v>
      </c>
      <c r="AM150" s="16" t="str">
        <f>IF(AC150=1,1+COUNTIFS($AC$89:$AC$154,1,$AL$89:$AL$154,"&lt;"&amp;AL150)+COUNTIFS($AC$88:AC149,1,$AL$88:AL149,AL150),"")</f>
        <v/>
      </c>
    </row>
    <row r="151">
      <c r="A151" t="inlineStr">
        <is>
          <t>g80-20-0</t>
        </is>
      </c>
      <c r="B151" t="n">
        <v>80</v>
      </c>
      <c r="C151" t="n">
        <v>20</v>
      </c>
      <c r="D151" t="n">
        <v>0</v>
      </c>
      <c r="E151" s="10">
        <f>ROUND($B$47*B151/100,2)</f>
        <v>1296000</v>
      </c>
      <c r="F151" s="10">
        <f>ROUND($B$47*C151/100,2)</f>
        <v>324000</v>
      </c>
      <c r="G151" s="10">
        <f>ROUND($B$47*D151/100,2)</f>
        <v>0</v>
      </c>
      <c r="H151" s="10">
        <f>IF(E151&gt;0,ROUND(-PMT($B$52/1200,$B$39,E151),2),0)</f>
        <v>6489.86</v>
      </c>
      <c r="I151" s="10">
        <f>IF(F151&gt;0,ROUND(-PMT($B$53/1200,$B$39,F151),2),0)</f>
        <v>1660.97</v>
      </c>
      <c r="J151" s="10">
        <f>IF(G151&gt;0,ROUND(-PMT($B$54/1200,$B$39,G151),2),0)</f>
        <v>0</v>
      </c>
      <c r="K151" s="10">
        <f>H151+I151+J151</f>
        <v>8150.83</v>
      </c>
      <c r="L151" s="10">
        <f>IF(E151&gt;0,-PMT($B$52/1200,$B$39,E151),0)+IF(F151&gt;0,-PMT($B$53/1200,$B$39,F151),0)+IF(G151&gt;0,-PMT($B$54/1200,$B$39,G151),0)</f>
        <v>8150.82914918467</v>
      </c>
      <c r="M151" s="10">
        <f>L151*$B$39</f>
        <v>2934298.49370648</v>
      </c>
      <c r="N151" s="10">
        <f>IF(E151&gt;0,-PMT($B$52/1200,$B$39,E151),0)+IF(F151&gt;0,-PMT(($B$53+$B$40)/1200,$B$39-12,F151*((1+$B$53/1200)^$B$39-(1+$B$53/1200)^12)/((1+$B$53/1200)^$B$39-1)),0)+IF(G151&gt;0,-PMT(($B$54+$B$41)/1200,$B$39-$B$42,G151*((1+$B$54/1200)^$B$39-(1+$B$54/1200)^$B$42)/((1+$B$54/1200)^$B$39-1)),0)</f>
        <v>8548.90219594861</v>
      </c>
      <c r="O151" s="10">
        <f>N151-K151</f>
        <v>398.072195948615</v>
      </c>
      <c r="P151" s="15">
        <f>C151+D151</f>
        <v>20</v>
      </c>
      <c r="Q151" s="15">
        <f>IF($B$51&gt;0,L151/$B$51*100,1000000)</f>
        <v>40.2510081441218</v>
      </c>
      <c r="R151" s="16">
        <f>IF(ABS(E151+F151+G151-$B$47)&gt;0.005,1,0)</f>
        <v>0</v>
      </c>
      <c r="S151" s="16">
        <f>IF($B$45&gt;$B$46,1,0)</f>
        <v>0</v>
      </c>
      <c r="T151" s="16">
        <f>IF($B$48&gt;$B$34,1,0)</f>
        <v>0</v>
      </c>
      <c r="U151" s="16">
        <f>IF(Q151&gt;$B$35,1,0)</f>
        <v>0</v>
      </c>
      <c r="V151" s="16">
        <f>IF((F151+G151)*$B$37&gt;$B$47*$B$36,1,0)</f>
        <v>0</v>
      </c>
      <c r="W151" s="16">
        <f>IF($B$39&gt;$B$38,1,0)</f>
        <v>0</v>
      </c>
      <c r="X151" s="16">
        <f>IF(Q151&gt;$B$55,1,0)</f>
        <v>0</v>
      </c>
      <c r="Y151" s="16">
        <f>IF($B$48&gt;$B$56,1,0)</f>
        <v>0</v>
      </c>
      <c r="Z151" s="16">
        <f>IF(L151&gt;$B$14,1,0)</f>
        <v>0</v>
      </c>
      <c r="AA151" s="16">
        <f>IF(Q151&gt;$B$15,1,0)</f>
        <v>1</v>
      </c>
      <c r="AB151" s="16">
        <f>SUM(R151:AA151)</f>
        <v>1</v>
      </c>
      <c r="AC151" s="16">
        <f>IF(AB151=0,1,0)</f>
        <v>0</v>
      </c>
      <c r="AD151" s="16" t="str">
        <f>IF(AC151=1,SUMPRODUCT(($AC$89:$AC$154=1)*($K$89:$K$154&lt;=K151)*($M$89:$M$154&lt;=M151)*($O$89:$O$154&lt;=O151)*((($K$89:$K$154&lt;K151)+($M$89:$M$154&lt;M151)+($O$89:$O$154&lt;O151))&gt;0)),"")</f>
        <v/>
      </c>
      <c r="AE151" s="16">
        <f>IF(AC151=1,IF(AD151=0,1,0),0)</f>
        <v>0</v>
      </c>
      <c r="AF151" s="10" t="str">
        <f>IF(AC151=1,K151,"")</f>
        <v/>
      </c>
      <c r="AG151" s="10" t="str">
        <f>IF(AC151=1,M151,"")</f>
        <v/>
      </c>
      <c r="AH151" s="10" t="str">
        <f>IF(AC151=1,O151,"")</f>
        <v/>
      </c>
      <c r="AI151" s="19">
        <f>IF($C$83=$B$83,0,ROUND((K151-$B$83)/($C$83-$B$83),4))</f>
        <v>1.3736</v>
      </c>
      <c r="AJ151" s="19">
        <f>IF($C$84=$B$84,0,ROUND((M151-$B$84)/($C$84-$B$84),4))</f>
        <v>1.3736</v>
      </c>
      <c r="AK151" s="19">
        <f>IF($C$85=$B$85,0,ROUND((O151-$B$85)/($C$85-$B$85),4))</f>
        <v>0.2405</v>
      </c>
      <c r="AL151" s="20">
        <f>ROUND(($B$22*AI151+$B$23*AJ151+$B$24*AK151)/($B$22+$B$23+$B$24),9)</f>
        <v>1.03367</v>
      </c>
      <c r="AM151" s="16" t="str">
        <f>IF(AC151=1,1+COUNTIFS($AC$89:$AC$154,1,$AL$89:$AL$154,"&lt;"&amp;AL151)+COUNTIFS($AC$88:AC150,1,$AL$88:AL150,AL151),"")</f>
        <v/>
      </c>
    </row>
    <row r="152">
      <c r="A152" t="inlineStr">
        <is>
          <t>g90-0-10</t>
        </is>
      </c>
      <c r="B152" t="n">
        <v>90</v>
      </c>
      <c r="C152" t="n">
        <v>0</v>
      </c>
      <c r="D152" t="n">
        <v>10</v>
      </c>
      <c r="E152" s="10">
        <f>ROUND($B$47*B152/100,2)</f>
        <v>1458000</v>
      </c>
      <c r="F152" s="10">
        <f>ROUND($B$47*C152/100,2)</f>
        <v>0</v>
      </c>
      <c r="G152" s="10">
        <f>ROUND($B$47*D152/100,2)</f>
        <v>162000</v>
      </c>
      <c r="H152" s="10">
        <f>IF(E152&gt;0,ROUND(-PMT($B$52/1200,$B$39,E152),2),0)</f>
        <v>7301.09</v>
      </c>
      <c r="I152" s="10">
        <f>IF(F152&gt;0,ROUND(-PMT($B$53/1200,$B$39,F152),2),0)</f>
        <v>0</v>
      </c>
      <c r="J152" s="10">
        <f>IF(G152&gt;0,ROUND(-PMT($B$54/1200,$B$39,G152),2),0)</f>
        <v>782.78</v>
      </c>
      <c r="K152" s="10">
        <f>H152+I152+J152</f>
        <v>8083.87</v>
      </c>
      <c r="L152" s="10">
        <f>IF(E152&gt;0,-PMT($B$52/1200,$B$39,E152),0)+IF(F152&gt;0,-PMT($B$53/1200,$B$39,F152),0)+IF(G152&gt;0,-PMT($B$54/1200,$B$39,G152),0)</f>
        <v>8083.8754318941</v>
      </c>
      <c r="M152" s="10">
        <f>L152*$B$39</f>
        <v>2910195.15548188</v>
      </c>
      <c r="N152" s="10">
        <f>IF(E152&gt;0,-PMT($B$52/1200,$B$39,E152),0)+IF(F152&gt;0,-PMT(($B$53+$B$40)/1200,$B$39-12,F152*((1+$B$53/1200)^$B$39-(1+$B$53/1200)^12)/((1+$B$53/1200)^$B$39-1)),0)+IF(G152&gt;0,-PMT(($B$54+$B$41)/1200,$B$39-$B$42,G152*((1+$B$54/1200)^$B$39-(1+$B$54/1200)^$B$42)/((1+$B$54/1200)^$B$39-1)),0)</f>
        <v>8255.66425298375</v>
      </c>
      <c r="O152" s="10">
        <f>N152-K152</f>
        <v>171.794252983748</v>
      </c>
      <c r="P152" s="15">
        <f>C152+D152</f>
        <v>10</v>
      </c>
      <c r="Q152" s="15">
        <f>IF($B$51&gt;0,L152/$B$51*100,1000000)</f>
        <v>39.9203725031808</v>
      </c>
      <c r="R152" s="16">
        <f>IF(ABS(E152+F152+G152-$B$47)&gt;0.005,1,0)</f>
        <v>0</v>
      </c>
      <c r="S152" s="16">
        <f>IF($B$45&gt;$B$46,1,0)</f>
        <v>0</v>
      </c>
      <c r="T152" s="16">
        <f>IF($B$48&gt;$B$34,1,0)</f>
        <v>0</v>
      </c>
      <c r="U152" s="16">
        <f>IF(Q152&gt;$B$35,1,0)</f>
        <v>0</v>
      </c>
      <c r="V152" s="16">
        <f>IF((F152+G152)*$B$37&gt;$B$47*$B$36,1,0)</f>
        <v>0</v>
      </c>
      <c r="W152" s="16">
        <f>IF($B$39&gt;$B$38,1,0)</f>
        <v>0</v>
      </c>
      <c r="X152" s="16">
        <f>IF(Q152&gt;$B$55,1,0)</f>
        <v>0</v>
      </c>
      <c r="Y152" s="16">
        <f>IF($B$48&gt;$B$56,1,0)</f>
        <v>0</v>
      </c>
      <c r="Z152" s="16">
        <f>IF(L152&gt;$B$14,1,0)</f>
        <v>0</v>
      </c>
      <c r="AA152" s="16">
        <f>IF(Q152&gt;$B$15,1,0)</f>
        <v>0</v>
      </c>
      <c r="AB152" s="16">
        <f>SUM(R152:AA152)</f>
        <v>0</v>
      </c>
      <c r="AC152" s="16">
        <f>IF(AB152=0,1,0)</f>
        <v>1</v>
      </c>
      <c r="AD152" s="16">
        <f>IF(AC152=1,SUMPRODUCT(($AC$89:$AC$154=1)*($K$89:$K$154&lt;=K152)*($M$89:$M$154&lt;=M152)*($O$89:$O$154&lt;=O152)*((($K$89:$K$154&lt;K152)+($M$89:$M$154&lt;M152)+($O$89:$O$154&lt;O152))&gt;0)),"")</f>
        <v>0</v>
      </c>
      <c r="AE152" s="16">
        <f>IF(AC152=1,IF(AD152=0,1,0),0)</f>
        <v>1</v>
      </c>
      <c r="AF152" s="10">
        <f>IF(AC152=1,K152,"")</f>
        <v>8083.87</v>
      </c>
      <c r="AG152" s="10">
        <f>IF(AC152=1,M152,"")</f>
        <v>2910195.15548188</v>
      </c>
      <c r="AH152" s="10">
        <f>IF(AC152=1,O152,"")</f>
        <v>171.794252983748</v>
      </c>
      <c r="AI152" s="19">
        <f>IF($C$83=$B$83,0,ROUND((K152-$B$83)/($C$83-$B$83),4))</f>
        <v>0.934</v>
      </c>
      <c r="AJ152" s="19">
        <f>IF($C$84=$B$84,0,ROUND((M152-$B$84)/($C$84-$B$84),4))</f>
        <v>0.934</v>
      </c>
      <c r="AK152" s="19">
        <f>IF($C$85=$B$85,0,ROUND((O152-$B$85)/($C$85-$B$85),4))</f>
        <v>0</v>
      </c>
      <c r="AL152" s="20">
        <f>ROUND(($B$22*AI152+$B$23*AJ152+$B$24*AK152)/($B$22+$B$23+$B$24),9)</f>
        <v>0.6538</v>
      </c>
      <c r="AM152" s="16">
        <f>IF(AC152=1,1+COUNTIFS($AC$89:$AC$154,1,$AL$89:$AL$154,"&lt;"&amp;AL152)+COUNTIFS($AC$88:AC151,1,$AL$88:AL151,AL152),"")</f>
        <v>9</v>
      </c>
    </row>
    <row r="153">
      <c r="A153" t="inlineStr">
        <is>
          <t>g90-10-0</t>
        </is>
      </c>
      <c r="B153" t="n">
        <v>90</v>
      </c>
      <c r="C153" t="n">
        <v>10</v>
      </c>
      <c r="D153" t="n">
        <v>0</v>
      </c>
      <c r="E153" s="10">
        <f>ROUND($B$47*B153/100,2)</f>
        <v>1458000</v>
      </c>
      <c r="F153" s="10">
        <f>ROUND($B$47*C153/100,2)</f>
        <v>162000</v>
      </c>
      <c r="G153" s="10">
        <f>ROUND($B$47*D153/100,2)</f>
        <v>0</v>
      </c>
      <c r="H153" s="10">
        <f>IF(E153&gt;0,ROUND(-PMT($B$52/1200,$B$39,E153),2),0)</f>
        <v>7301.09</v>
      </c>
      <c r="I153" s="10">
        <f>IF(F153&gt;0,ROUND(-PMT($B$53/1200,$B$39,F153),2),0)</f>
        <v>830.48</v>
      </c>
      <c r="J153" s="10">
        <f>IF(G153&gt;0,ROUND(-PMT($B$54/1200,$B$39,G153),2),0)</f>
        <v>0</v>
      </c>
      <c r="K153" s="10">
        <f>H153+I153+J153</f>
        <v>8131.57</v>
      </c>
      <c r="L153" s="10">
        <f>IF(E153&gt;0,-PMT($B$52/1200,$B$39,E153),0)+IF(F153&gt;0,-PMT($B$53/1200,$B$39,F153),0)+IF(G153&gt;0,-PMT($B$54/1200,$B$39,G153),0)</f>
        <v>8131.57794720793</v>
      </c>
      <c r="M153" s="10">
        <f>L153*$B$39</f>
        <v>2927368.06099486</v>
      </c>
      <c r="N153" s="10">
        <f>IF(E153&gt;0,-PMT($B$52/1200,$B$39,E153),0)+IF(F153&gt;0,-PMT(($B$53+$B$40)/1200,$B$39-12,F153*((1+$B$53/1200)^$B$39-(1+$B$53/1200)^12)/((1+$B$53/1200)^$B$39-1)),0)+IF(G153&gt;0,-PMT(($B$54+$B$41)/1200,$B$39-$B$42,G153*((1+$B$54/1200)^$B$39-(1+$B$54/1200)^$B$42)/((1+$B$54/1200)^$B$39-1)),0)</f>
        <v>8330.6144705899</v>
      </c>
      <c r="O153" s="10">
        <f>N153-K153</f>
        <v>199.044470589904</v>
      </c>
      <c r="P153" s="15">
        <f>C153+D153</f>
        <v>10</v>
      </c>
      <c r="Q153" s="15">
        <f>IF($B$51&gt;0,L153/$B$51*100,1000000)</f>
        <v>40.1559404800392</v>
      </c>
      <c r="R153" s="16">
        <f>IF(ABS(E153+F153+G153-$B$47)&gt;0.005,1,0)</f>
        <v>0</v>
      </c>
      <c r="S153" s="16">
        <f>IF($B$45&gt;$B$46,1,0)</f>
        <v>0</v>
      </c>
      <c r="T153" s="16">
        <f>IF($B$48&gt;$B$34,1,0)</f>
        <v>0</v>
      </c>
      <c r="U153" s="16">
        <f>IF(Q153&gt;$B$35,1,0)</f>
        <v>0</v>
      </c>
      <c r="V153" s="16">
        <f>IF((F153+G153)*$B$37&gt;$B$47*$B$36,1,0)</f>
        <v>0</v>
      </c>
      <c r="W153" s="16">
        <f>IF($B$39&gt;$B$38,1,0)</f>
        <v>0</v>
      </c>
      <c r="X153" s="16">
        <f>IF(Q153&gt;$B$55,1,0)</f>
        <v>0</v>
      </c>
      <c r="Y153" s="16">
        <f>IF($B$48&gt;$B$56,1,0)</f>
        <v>0</v>
      </c>
      <c r="Z153" s="16">
        <f>IF(L153&gt;$B$14,1,0)</f>
        <v>0</v>
      </c>
      <c r="AA153" s="16">
        <f>IF(Q153&gt;$B$15,1,0)</f>
        <v>1</v>
      </c>
      <c r="AB153" s="16">
        <f>SUM(R153:AA153)</f>
        <v>1</v>
      </c>
      <c r="AC153" s="16">
        <f>IF(AB153=0,1,0)</f>
        <v>0</v>
      </c>
      <c r="AD153" s="16" t="str">
        <f>IF(AC153=1,SUMPRODUCT(($AC$89:$AC$154=1)*($K$89:$K$154&lt;=K153)*($M$89:$M$154&lt;=M153)*($O$89:$O$154&lt;=O153)*((($K$89:$K$154&lt;K153)+($M$89:$M$154&lt;M153)+($O$89:$O$154&lt;O153))&gt;0)),"")</f>
        <v/>
      </c>
      <c r="AE153" s="16">
        <f>IF(AC153=1,IF(AD153=0,1,0),0)</f>
        <v>0</v>
      </c>
      <c r="AF153" s="10" t="str">
        <f>IF(AC153=1,K153,"")</f>
        <v/>
      </c>
      <c r="AG153" s="10" t="str">
        <f>IF(AC153=1,M153,"")</f>
        <v/>
      </c>
      <c r="AH153" s="10" t="str">
        <f>IF(AC153=1,O153,"")</f>
        <v/>
      </c>
      <c r="AI153" s="19">
        <f>IF($C$83=$B$83,0,ROUND((K153-$B$83)/($C$83-$B$83),4))</f>
        <v>1.2471</v>
      </c>
      <c r="AJ153" s="19">
        <f>IF($C$84=$B$84,0,ROUND((M153-$B$84)/($C$84-$B$84),4))</f>
        <v>1.2472</v>
      </c>
      <c r="AK153" s="19">
        <f>IF($C$85=$B$85,0,ROUND((O153-$B$85)/($C$85-$B$85),4))</f>
        <v>0.029</v>
      </c>
      <c r="AL153" s="20">
        <f>ROUND(($B$22*AI153+$B$23*AJ153+$B$24*AK153)/($B$22+$B$23+$B$24),9)</f>
        <v>0.8817</v>
      </c>
      <c r="AM153" s="16" t="str">
        <f>IF(AC153=1,1+COUNTIFS($AC$89:$AC$154,1,$AL$89:$AL$154,"&lt;"&amp;AL153)+COUNTIFS($AC$88:AC152,1,$AL$88:AL152,AL153),"")</f>
        <v/>
      </c>
    </row>
    <row r="154">
      <c r="A154" t="inlineStr">
        <is>
          <t>g100-0-0</t>
        </is>
      </c>
      <c r="B154" t="n">
        <v>100</v>
      </c>
      <c r="C154" t="n">
        <v>0</v>
      </c>
      <c r="D154" t="n">
        <v>0</v>
      </c>
      <c r="E154" s="10">
        <f>ROUND($B$47*B154/100,2)</f>
        <v>1620000</v>
      </c>
      <c r="F154" s="10">
        <f>ROUND($B$47*C154/100,2)</f>
        <v>0</v>
      </c>
      <c r="G154" s="10">
        <f>ROUND($B$47*D154/100,2)</f>
        <v>0</v>
      </c>
      <c r="H154" s="10">
        <f>IF(E154&gt;0,ROUND(-PMT($B$52/1200,$B$39,E154),2),0)</f>
        <v>8112.33</v>
      </c>
      <c r="I154" s="10">
        <f>IF(F154&gt;0,ROUND(-PMT($B$53/1200,$B$39,F154),2),0)</f>
        <v>0</v>
      </c>
      <c r="J154" s="10">
        <f>IF(G154&gt;0,ROUND(-PMT($B$54/1200,$B$39,G154),2),0)</f>
        <v>0</v>
      </c>
      <c r="K154" s="10">
        <f>H154+I154+J154</f>
        <v>8112.33</v>
      </c>
      <c r="L154" s="10">
        <f>IF(E154&gt;0,-PMT($B$52/1200,$B$39,E154),0)+IF(F154&gt;0,-PMT($B$53/1200,$B$39,F154),0)+IF(G154&gt;0,-PMT($B$54/1200,$B$39,G154),0)</f>
        <v>8112.32674523119</v>
      </c>
      <c r="M154" s="10">
        <f>L154*$B$39</f>
        <v>2920437.62828323</v>
      </c>
      <c r="N154" s="10">
        <f>IF(E154&gt;0,-PMT($B$52/1200,$B$39,E154),0)+IF(F154&gt;0,-PMT(($B$53+$B$40)/1200,$B$39-12,F154*((1+$B$53/1200)^$B$39-(1+$B$53/1200)^12)/((1+$B$53/1200)^$B$39-1)),0)+IF(G154&gt;0,-PMT(($B$54+$B$41)/1200,$B$39-$B$42,G154*((1+$B$54/1200)^$B$39-(1+$B$54/1200)^$B$42)/((1+$B$54/1200)^$B$39-1)),0)</f>
        <v>8112.32674523119</v>
      </c>
      <c r="O154" s="10">
        <f>N154-K154</f>
        <v>-0.00325476880789211</v>
      </c>
      <c r="P154" s="15">
        <f>C154+D154</f>
        <v>0</v>
      </c>
      <c r="Q154" s="15">
        <f>IF($B$51&gt;0,L154/$B$51*100,1000000)</f>
        <v>40.0608728159565</v>
      </c>
      <c r="R154" s="16">
        <f>IF(ABS(E154+F154+G154-$B$47)&gt;0.005,1,0)</f>
        <v>0</v>
      </c>
      <c r="S154" s="16">
        <f>IF($B$45&gt;$B$46,1,0)</f>
        <v>0</v>
      </c>
      <c r="T154" s="16">
        <f>IF($B$48&gt;$B$34,1,0)</f>
        <v>0</v>
      </c>
      <c r="U154" s="16">
        <f>IF(Q154&gt;$B$35,1,0)</f>
        <v>0</v>
      </c>
      <c r="V154" s="16">
        <f>IF((F154+G154)*$B$37&gt;$B$47*$B$36,1,0)</f>
        <v>0</v>
      </c>
      <c r="W154" s="16">
        <f>IF($B$39&gt;$B$38,1,0)</f>
        <v>0</v>
      </c>
      <c r="X154" s="16">
        <f>IF(Q154&gt;$B$55,1,0)</f>
        <v>0</v>
      </c>
      <c r="Y154" s="16">
        <f>IF($B$48&gt;$B$56,1,0)</f>
        <v>0</v>
      </c>
      <c r="Z154" s="16">
        <f>IF(L154&gt;$B$14,1,0)</f>
        <v>0</v>
      </c>
      <c r="AA154" s="16">
        <f>IF(Q154&gt;$B$15,1,0)</f>
        <v>1</v>
      </c>
      <c r="AB154" s="16">
        <f>SUM(R154:AA154)</f>
        <v>1</v>
      </c>
      <c r="AC154" s="16">
        <f>IF(AB154=0,1,0)</f>
        <v>0</v>
      </c>
      <c r="AD154" s="16" t="str">
        <f>IF(AC154=1,SUMPRODUCT(($AC$89:$AC$154=1)*($K$89:$K$154&lt;=K154)*($M$89:$M$154&lt;=M154)*($O$89:$O$154&lt;=O154)*((($K$89:$K$154&lt;K154)+($M$89:$M$154&lt;M154)+($O$89:$O$154&lt;O154))&gt;0)),"")</f>
        <v/>
      </c>
      <c r="AE154" s="16">
        <f>IF(AC154=1,IF(AD154=0,1,0),0)</f>
        <v>0</v>
      </c>
      <c r="AF154" s="10" t="str">
        <f>IF(AC154=1,K154,"")</f>
        <v/>
      </c>
      <c r="AG154" s="10" t="str">
        <f>IF(AC154=1,M154,"")</f>
        <v/>
      </c>
      <c r="AH154" s="10" t="str">
        <f>IF(AC154=1,O154,"")</f>
        <v/>
      </c>
      <c r="AI154" s="19">
        <f>IF($C$83=$B$83,0,ROUND((K154-$B$83)/($C$83-$B$83),4))</f>
        <v>1.1208</v>
      </c>
      <c r="AJ154" s="19">
        <f>IF($C$84=$B$84,0,ROUND((M154-$B$84)/($C$84-$B$84),4))</f>
        <v>1.1208</v>
      </c>
      <c r="AK154" s="19">
        <f>IF($C$85=$B$85,0,ROUND((O154-$B$85)/($C$85-$B$85),4))</f>
        <v>-0.1826</v>
      </c>
      <c r="AL154" s="20">
        <f>ROUND(($B$22*AI154+$B$23*AJ154+$B$24*AK154)/($B$22+$B$23+$B$24),9)</f>
        <v>0.72978</v>
      </c>
      <c r="AM154" s="16" t="str">
        <f>IF(AC154=1,1+COUNTIFS($AC$89:$AC$154,1,$AL$89:$AL$154,"&lt;"&amp;AL154)+COUNTIFS($AC$88:AC153,1,$AL$88:AL153,AL154),"")</f>
        <v/>
      </c>
    </row>
  </sheetData>
  <dataValidations count="7">
    <dataValidation sqref="B18" showDropDown="0" showInputMessage="0" showErrorMessage="1" allowBlank="0" errorTitle="ערך לא תקין" error="הון עצמי נוסף: מספר בין 0 ל־500,000" type="decimal" operator="between">
      <formula1>0</formula1>
      <formula2>500000</formula2>
    </dataValidation>
    <dataValidation sqref="B19" showDropDown="0" showInputMessage="0" showErrorMessage="1" allowBlank="0" errorTitle="ערך לא תקין" error="0 (לא) או 1 (כן)" type="whole" operator="between">
      <formula1>0</formula1>
      <formula2>1</formula2>
    </dataValidation>
    <dataValidation sqref="B20" showDropDown="0" showInputMessage="0" showErrorMessage="1" allowBlank="0" errorTitle="ערך לא תקין" error="0 (לא) או 1 (כן)" type="whole" operator="between">
      <formula1>0</formula1>
      <formula2>1</formula2>
    </dataValidation>
    <dataValidation sqref="B21" showDropDown="0" showInputMessage="0" showErrorMessage="1" allowBlank="0" errorTitle="ערך לא תקין" error="בנק: a, b, c או d" type="list">
      <formula1>"a,b,c,d"</formula1>
    </dataValidation>
    <dataValidation sqref="B22" showDropDown="0" showInputMessage="0" showErrorMessage="1" allowBlank="0" errorTitle="ערך לא תקין" error="משקולת: מספר שלם בין 0 ל־100" type="whole" operator="between">
      <formula1>0</formula1>
      <formula2>100</formula2>
    </dataValidation>
    <dataValidation sqref="B23" showDropDown="0" showInputMessage="0" showErrorMessage="1" allowBlank="0" errorTitle="ערך לא תקין" error="משקולת: מספר שלם בין 0 ל־100" type="whole" operator="between">
      <formula1>0</formula1>
      <formula2>100</formula2>
    </dataValidation>
    <dataValidation sqref="B24" showDropDown="0" showInputMessage="0" showErrorMessage="1" allowBlank="0" errorTitle="ערך לא תקין" error="משקולת: מספר שלם בין 0 ל־100" type="whole"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rightToLeft="1" workbookViewId="0">
      <selection activeCell="A1" sqref="A1"/>
    </sheetView>
  </sheetViews>
  <sheetFormatPr baseColWidth="8" defaultRowHeight="15"/>
  <cols>
    <col width="52" customWidth="1" min="1" max="1"/>
    <col width="20" customWidth="1" min="2" max="2"/>
    <col width="20" customWidth="1" min="3" max="3"/>
    <col width="20" customWidth="1" min="4" max="4"/>
    <col width="20" customWidth="1" min="5" max="5"/>
    <col width="20" customWidth="1" min="6" max="6"/>
  </cols>
  <sheetData>
    <row r="1">
      <c r="A1" s="1" t="inlineStr">
        <is>
          <t>הגיליון מול המנוע של הקורס, לקלט ההתחלתי</t>
        </is>
      </c>
    </row>
    <row r="2">
      <c r="A2" s="2" t="inlineStr">
        <is>
          <t>עמודה C היא התוצאה של המנוע של הקורס (מחושבת בקוד, ונבדקת פעמיים). הערכים נכונים רק לקלט ההתחלתי: אם שיניתם בחירה, ההפרשים צפויים.</t>
        </is>
      </c>
    </row>
    <row r="4">
      <c r="A4" s="21" t="inlineStr">
        <is>
          <t>מה נבדק</t>
        </is>
      </c>
      <c r="B4" s="21" t="inlineStr">
        <is>
          <t>הגיליון</t>
        </is>
      </c>
      <c r="C4" s="21" t="inlineStr">
        <is>
          <t>המנוע</t>
        </is>
      </c>
      <c r="D4" s="21" t="inlineStr">
        <is>
          <t>הפרש</t>
        </is>
      </c>
      <c r="E4" s="21" t="inlineStr">
        <is>
          <t>סבילות</t>
        </is>
      </c>
      <c r="F4" s="21" t="inlineStr">
        <is>
          <t>תקין?</t>
        </is>
      </c>
    </row>
    <row r="5">
      <c r="A5" t="inlineStr">
        <is>
          <t>כמה מועמדים ברשת</t>
        </is>
      </c>
      <c r="B5" s="16">
        <f>'מנוע'!$B$59</f>
        <v>66</v>
      </c>
      <c r="C5" s="16" t="n">
        <v>66</v>
      </c>
      <c r="D5" s="16">
        <f>IF(ISNUMBER(B5),B5-C5,"")</f>
        <v>0</v>
      </c>
      <c r="E5" t="n">
        <v>0</v>
      </c>
      <c r="F5" t="str">
        <f>IF(ISNUMBER(D5),IF(ABS(D5)&lt;=E5,"✓","✗"),"✗")</f>
        <v>✓</v>
      </c>
    </row>
    <row r="6">
      <c r="A6" t="inlineStr">
        <is>
          <t>כמה אפשריים</t>
        </is>
      </c>
      <c r="B6" s="16">
        <f>'מנוע'!$B$60</f>
        <v>14</v>
      </c>
      <c r="C6" s="16" t="n">
        <v>14</v>
      </c>
      <c r="D6" s="16">
        <f>IF(ISNUMBER(B6),B6-C6,"")</f>
        <v>0</v>
      </c>
      <c r="E6" t="n">
        <v>0</v>
      </c>
      <c r="F6" t="str">
        <f>IF(ISNUMBER(D6),IF(ABS(D6)&lt;=E6,"✓","✗"),"✗")</f>
        <v>✓</v>
      </c>
    </row>
    <row r="7">
      <c r="A7" t="inlineStr">
        <is>
          <t>כמה יעילים</t>
        </is>
      </c>
      <c r="B7" s="16">
        <f>'מנוע'!$B$61</f>
        <v>6</v>
      </c>
      <c r="C7" s="16" t="n">
        <v>6</v>
      </c>
      <c r="D7" s="16">
        <f>IF(ISNUMBER(B7),B7-C7,"")</f>
        <v>0</v>
      </c>
      <c r="E7" t="n">
        <v>0</v>
      </c>
      <c r="F7" t="str">
        <f>IF(ISNUMBER(D7),IF(ABS(D7)&lt;=E7,"✓","✗"),"✗")</f>
        <v>✓</v>
      </c>
    </row>
    <row r="8">
      <c r="A8" t="inlineStr">
        <is>
          <t>המועמד שנבחר</t>
        </is>
      </c>
      <c r="B8" s="16" t="str">
        <f>'מנוע'!$B$62</f>
        <v>g40-0-60</v>
      </c>
      <c r="C8" s="16" t="inlineStr">
        <is>
          <t>g40-0-60</t>
        </is>
      </c>
      <c r="D8" s="16" t="n"/>
      <c r="F8" t="str">
        <f>IF(B8=C8,"✓","✗")</f>
        <v>✓</v>
      </c>
    </row>
    <row r="9">
      <c r="A9" t="inlineStr">
        <is>
          <t>ההחזר הראשון של הנבחר</t>
        </is>
      </c>
      <c r="B9" s="10">
        <f>'מנוע'!$B$63</f>
        <v>7941.62</v>
      </c>
      <c r="C9" s="10" t="n">
        <v>7941.62</v>
      </c>
      <c r="D9" s="10">
        <f>IF(ISNUMBER(B9),B9-C9,"")</f>
        <v>0</v>
      </c>
      <c r="E9" t="n">
        <v>0.05</v>
      </c>
      <c r="F9" t="str">
        <f>IF(ISNUMBER(D9),IF(ABS(D9)&lt;=E9,"✓","✗"),"✗")</f>
        <v>✓</v>
      </c>
    </row>
    <row r="10">
      <c r="A10" t="inlineStr">
        <is>
          <t>סך התשלומים של הנבחר</t>
        </is>
      </c>
      <c r="B10" s="10">
        <f>'מנוע'!$B$64</f>
        <v>2858982.79147512</v>
      </c>
      <c r="C10" s="10" t="n">
        <v>2858982.61</v>
      </c>
      <c r="D10" s="10">
        <f>IF(ISNUMBER(B10),B10-C10,"")</f>
        <v>0.181475116405636</v>
      </c>
      <c r="E10" t="n">
        <v>6</v>
      </c>
      <c r="F10" t="str">
        <f>IF(ISNUMBER(D10),IF(ABS(D10)&lt;=E10,"✓","✗"),"✗")</f>
        <v>✓</v>
      </c>
    </row>
    <row r="11">
      <c r="A11" t="inlineStr">
        <is>
          <t>החשיפה של הנבחר</t>
        </is>
      </c>
      <c r="B11" s="10">
        <f>'מנוע'!$B$65</f>
        <v>1030.73179174652</v>
      </c>
      <c r="C11" s="10" t="n">
        <v>1030.73</v>
      </c>
      <c r="D11" s="10">
        <f>IF(ISNUMBER(B11),B11-C11,"")</f>
        <v>0.00179174652430447</v>
      </c>
      <c r="E11" t="n">
        <v>10</v>
      </c>
      <c r="F11" t="str">
        <f>IF(ISNUMBER(D11),IF(ABS(D11)&lt;=E11,"✓","✗"),"✗")</f>
        <v>✓</v>
      </c>
    </row>
    <row r="12">
      <c r="A12" t="inlineStr">
        <is>
          <t>נפסלו: סכום המסלולים שווה להלוואה</t>
        </is>
      </c>
      <c r="B12" s="16">
        <f>'מנוע'!$B$72</f>
        <v>0</v>
      </c>
      <c r="C12" s="16" t="n">
        <v>0</v>
      </c>
      <c r="D12" s="16">
        <f>IF(ISNUMBER(B12),B12-C12,"")</f>
        <v>0</v>
      </c>
      <c r="E12" t="n">
        <v>0</v>
      </c>
      <c r="F12" t="str">
        <f>IF(ISNUMBER(D12),IF(ABS(D12)&lt;=E12,"✓","✗"),"✗")</f>
        <v>✓</v>
      </c>
    </row>
    <row r="13">
      <c r="A13" t="inlineStr">
        <is>
          <t>נפסלו: ההון העצמי קיים</t>
        </is>
      </c>
      <c r="B13" s="16">
        <f>'מנוע'!$B$73</f>
        <v>0</v>
      </c>
      <c r="C13" s="16" t="n">
        <v>0</v>
      </c>
      <c r="D13" s="16">
        <f>IF(ISNUMBER(B13),B13-C13,"")</f>
        <v>0</v>
      </c>
      <c r="E13" t="n">
        <v>0</v>
      </c>
      <c r="F13" t="str">
        <f>IF(ISNUMBER(D13),IF(ABS(D13)&lt;=E13,"✓","✗"),"✗")</f>
        <v>✓</v>
      </c>
    </row>
    <row r="14">
      <c r="A14" t="inlineStr">
        <is>
          <t>נפסלו: שיעור מימון עד התקרה</t>
        </is>
      </c>
      <c r="B14" s="16">
        <f>'מנוע'!$B$74</f>
        <v>0</v>
      </c>
      <c r="C14" s="16" t="n">
        <v>0</v>
      </c>
      <c r="D14" s="16">
        <f>IF(ISNUMBER(B14),B14-C14,"")</f>
        <v>0</v>
      </c>
      <c r="E14" t="n">
        <v>0</v>
      </c>
      <c r="F14" t="str">
        <f>IF(ISNUMBER(D14),IF(ABS(D14)&lt;=E14,"✓","✗"),"✗")</f>
        <v>✓</v>
      </c>
    </row>
    <row r="15">
      <c r="A15" t="inlineStr">
        <is>
          <t>נפסלו: יחס החזר עד 50%</t>
        </is>
      </c>
      <c r="B15" s="16">
        <f>'מנוע'!$B$75</f>
        <v>0</v>
      </c>
      <c r="C15" s="16" t="n">
        <v>0</v>
      </c>
      <c r="D15" s="16">
        <f>IF(ISNUMBER(B15),B15-C15,"")</f>
        <v>0</v>
      </c>
      <c r="E15" t="n">
        <v>0</v>
      </c>
      <c r="F15" t="str">
        <f>IF(ISNUMBER(D15),IF(ABS(D15)&lt;=E15,"✓","✗"),"✗")</f>
        <v>✓</v>
      </c>
    </row>
    <row r="16">
      <c r="A16" t="inlineStr">
        <is>
          <t>נפסלו: לפחות שליש בריבית קבועה</t>
        </is>
      </c>
      <c r="B16" s="16">
        <f>'מנוע'!$B$76</f>
        <v>38</v>
      </c>
      <c r="C16" s="16" t="n">
        <v>38</v>
      </c>
      <c r="D16" s="16">
        <f>IF(ISNUMBER(B16),B16-C16,"")</f>
        <v>0</v>
      </c>
      <c r="E16" t="n">
        <v>0</v>
      </c>
      <c r="F16" t="str">
        <f>IF(ISNUMBER(D16),IF(ABS(D16)&lt;=E16,"✓","✗"),"✗")</f>
        <v>✓</v>
      </c>
    </row>
    <row r="17">
      <c r="A17" t="inlineStr">
        <is>
          <t>נפסלו: עד 30 שנה</t>
        </is>
      </c>
      <c r="B17" s="16">
        <f>'מנוע'!$B$77</f>
        <v>0</v>
      </c>
      <c r="C17" s="16" t="n">
        <v>0</v>
      </c>
      <c r="D17" s="16">
        <f>IF(ISNUMBER(B17),B17-C17,"")</f>
        <v>0</v>
      </c>
      <c r="E17" t="n">
        <v>0</v>
      </c>
      <c r="F17" t="str">
        <f>IF(ISNUMBER(D17),IF(ABS(D17)&lt;=E17,"✓","✗"),"✗")</f>
        <v>✓</v>
      </c>
    </row>
    <row r="18">
      <c r="A18" t="inlineStr">
        <is>
          <t>נפסלו: יחס ההחזר עד הקו של הבנק</t>
        </is>
      </c>
      <c r="B18" s="16">
        <f>'מנוע'!$B$78</f>
        <v>0</v>
      </c>
      <c r="C18" s="16" t="n">
        <v>0</v>
      </c>
      <c r="D18" s="16">
        <f>IF(ISNUMBER(B18),B18-C18,"")</f>
        <v>0</v>
      </c>
      <c r="E18" t="n">
        <v>0</v>
      </c>
      <c r="F18" t="str">
        <f>IF(ISNUMBER(D18),IF(ABS(D18)&lt;=E18,"✓","✗"),"✗")</f>
        <v>✓</v>
      </c>
    </row>
    <row r="19">
      <c r="A19" t="inlineStr">
        <is>
          <t>נפסלו: שיעור המימון עד הקו של הבנק</t>
        </is>
      </c>
      <c r="B19" s="16">
        <f>'מנוע'!$B$79</f>
        <v>0</v>
      </c>
      <c r="C19" s="16" t="n">
        <v>0</v>
      </c>
      <c r="D19" s="16">
        <f>IF(ISNUMBER(B19),B19-C19,"")</f>
        <v>0</v>
      </c>
      <c r="E19" t="n">
        <v>0</v>
      </c>
      <c r="F19" t="str">
        <f>IF(ISNUMBER(D19),IF(ABS(D19)&lt;=E19,"✓","✗"),"✗")</f>
        <v>✓</v>
      </c>
    </row>
    <row r="20">
      <c r="A20" t="inlineStr">
        <is>
          <t>נפסלו: ההחזר עד המרבי שהלקוח קבע</t>
        </is>
      </c>
      <c r="B20" s="16">
        <f>'מנוע'!$B$80</f>
        <v>1</v>
      </c>
      <c r="C20" s="16" t="n">
        <v>1</v>
      </c>
      <c r="D20" s="16">
        <f>IF(ISNUMBER(B20),B20-C20,"")</f>
        <v>0</v>
      </c>
      <c r="E20" t="n">
        <v>0</v>
      </c>
      <c r="F20" t="str">
        <f>IF(ISNUMBER(D20),IF(ABS(D20)&lt;=E20,"✓","✗"),"✗")</f>
        <v>✓</v>
      </c>
    </row>
    <row r="21">
      <c r="A21" t="inlineStr">
        <is>
          <t>נפסלו: יחס ההחזר עד יעד הלקוח</t>
        </is>
      </c>
      <c r="B21" s="16">
        <f>'מנוע'!$B$81</f>
        <v>31</v>
      </c>
      <c r="C21" s="16" t="n">
        <v>31</v>
      </c>
      <c r="D21" s="16">
        <f>IF(ISNUMBER(B21),B21-C21,"")</f>
        <v>0</v>
      </c>
      <c r="E21" t="n">
        <v>0</v>
      </c>
      <c r="F21" t="str">
        <f>IF(ISNUMBER(D21),IF(ABS(D21)&lt;=E21,"✓","✗"),"✗")</f>
        <v>✓</v>
      </c>
    </row>
    <row r="22">
      <c r="A22" t="inlineStr">
        <is>
          <t>הפער בהחזר הראשון: הצעה מול אומדן</t>
        </is>
      </c>
      <c r="B22" s="10">
        <f>'מנוע'!$F$15</f>
        <v>-0.499999999998181</v>
      </c>
      <c r="C22" s="10" t="n">
        <v>-0.5</v>
      </c>
      <c r="D22" s="10">
        <f>IF(ISNUMBER(B22),B22-C22,"")</f>
        <v>1.81898940354586e-12</v>
      </c>
      <c r="E22" t="n">
        <v>0.05</v>
      </c>
      <c r="F22" t="str">
        <f>IF(ISNUMBER(D22),IF(ABS(D22)&lt;=E22,"✓","✗"),"✗")</f>
        <v>✓</v>
      </c>
    </row>
    <row r="23">
      <c r="A23" t="inlineStr">
        <is>
          <t>הפער בסך התשלומים: הצעה מול אומדן</t>
        </is>
      </c>
      <c r="B23" s="10">
        <f>'מנוע'!$F$18</f>
        <v>-179.039451272693</v>
      </c>
      <c r="C23" s="10" t="n">
        <v>-177.72</v>
      </c>
      <c r="D23" s="10">
        <f>IF(ISNUMBER(B23),B23-C23,"")</f>
        <v>-1.31945127269253</v>
      </c>
      <c r="E23" t="n">
        <v>6</v>
      </c>
      <c r="F23" t="str">
        <f>IF(ISNUMBER(D23),IF(ABS(D23)&lt;=E23,"✓","✗"),"✗")</f>
        <v>✓</v>
      </c>
    </row>
    <row r="25">
      <c r="A25" s="2" t="inlineStr">
        <is>
          <t>הגיליון מקרב את המנוע: הוא מחשב החזר מדויק (בלי עיגול כל ריבית חודשית), והמנוע מעגל כל חודש לאגורה. בסך התשלומים הפער עד כמה שקלים. בחשיפה הפער עד כעשרה שקלים, כי במנוע התשלום האחרון סוגר את היתרה, והוא גבוה בכמה שקלים מהתשלום הקבוע. הבחירה של התמהיל לא מושפעת.</t>
        </is>
      </c>
    </row>
    <row r="26">
      <c r="A26" s="3" t="str">
        <f>IF(COUNTIF(F5:F23,"✗")=0,"✓ הכול בטווח","✗ יש פערים: בדקו את הנוסחאות או את הקלט")</f>
        <v>✓ הכול בטווח</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rightToLeft="1" workbookViewId="0">
      <selection activeCell="A1" sqref="A1"/>
    </sheetView>
  </sheetViews>
  <sheetFormatPr baseColWidth="8" defaultRowHeight="15"/>
  <cols>
    <col width="120" customWidth="1" min="1" max="1"/>
  </cols>
  <sheetData>
    <row r="1">
      <c r="A1" s="22" t="inlineStr">
        <is>
          <t>איך בונים את המנוע</t>
        </is>
      </c>
    </row>
    <row r="2">
      <c r="A2" s="23" t="inlineStr">
        <is>
          <t>דוגמה לימודית — נתוני הלקוח והריביות להמחשה בלבד; אינם הצעת בנק או נתוני שוק עדכניים. נתונים סינתטיים. עתיד: זה לא קוד של Mogi.</t>
        </is>
      </c>
    </row>
    <row r="3">
      <c r="A3" s="23" t="inlineStr">
        <is>
          <t>הגיליון ״מנוע״ מחזיק את התיק, את הבחירות שלכם (תאים ירוקים), את ארבעת הבנקים, את הכללים, ובסוף את הרשת: שורה לכל מועמד, בלי שום מספר שהוקלד ביד בנוסחאות.</t>
        </is>
      </c>
    </row>
    <row r="4">
      <c r="A4" s="22" t="inlineStr">
        <is>
          <t>הצעדים</t>
        </is>
      </c>
    </row>
    <row r="5">
      <c r="A5" s="23" t="inlineStr">
        <is>
          <t>1 — מיצוב: בתאים B18 עד B21 בחרו הון עצמי נוסף, סגירת הלוואת הרכב, הורה ובנק. ההלוואה, שיעור המימון והכנסה הפנויה מתעדכנים (שורות 45 עד 56).</t>
        </is>
      </c>
    </row>
    <row r="6">
      <c r="A6" s="23" t="inlineStr">
        <is>
          <t>2 — תזרים: בכל שורה של הרשת, ההחזר הראשון של כל מסלול (עמודות H עד J) הוא ROUND(-PMT(ריבית/1200, חודשים, סכום), 2). סך התשלומים הוא ההחזר הלא־מעוגל כפול החודשים, וההחזר הגבוה בלחץ מחושב מחדש אחרי שהריבית עולה.</t>
        </is>
      </c>
    </row>
    <row r="7">
      <c r="A7" s="23" t="inlineStr">
        <is>
          <t>3 — חיפוש: הרשת היא כל התמהילים בצעדים של 10 אחוזים (66). אין להוסיף שורות: מרחב החיפוש הוא מה שנבדק. שורת הרשת הראשונה (89) מלאה בכל העמודות כדוגמה. עמדו על כותרת של עמודה כדי לקרוא מה היא עושה (בכותרות עם הערה), העתיקו את השורה למטה עד שורה 154, ובדקו שהתוצאות בשורות 59 עד 69 התמלאו.</t>
        </is>
      </c>
    </row>
    <row r="8">
      <c r="A8" s="23" t="inlineStr">
        <is>
          <t>4 — אילוצים: עשר עמודות (R עד AA) של 1 (נשבר) או 0 (נשמר). מועמד אפשרי כשאין בו אף 1. הסיבות מסוכמות בשורות 72 עד 81.</t>
        </is>
      </c>
    </row>
    <row r="9">
      <c r="A9" s="23" t="inlineStr">
        <is>
          <t>5 — חזית יעילה: עמודה AD סופרת כמה מועמדים אפשריים לא גרועים בשום מדד ומשופרים באחד. מועמד אפשרי שאף אחד לא שולט עליו הוא יעיל.</t>
        </is>
      </c>
    </row>
    <row r="10">
      <c r="A10" s="23" t="inlineStr">
        <is>
          <t>6 — בחירה: מנרמלים כל מדד בין אפשריים (0 הטוב, 1 הגרוע), ממוצע משוקלל לפי המשקולות בתאים B22 עד B24 (להדגמה). הציון הנמוך מנצח.</t>
        </is>
      </c>
    </row>
    <row r="11">
      <c r="A11" s="23" t="inlineStr">
        <is>
          <t>7 — הסבר: בשורות 84 עד 86, הניסוח נבנה ממספרי הגיליון. מודל שפה לעולם לא מחשב.</t>
        </is>
      </c>
    </row>
    <row r="12">
      <c r="A12" s="23" t="inlineStr">
        <is>
          <t>8 — בדיקה מול הצעת בנק: בתאים E4 עד F11 יש הצעה לדוגמה של בנק בדוי. האומדן הוא המחירון של הבנק; ההצעה היא מה שהוא כתב. הפער נמדד בהחזר הראשון ובסך התשלומים.</t>
        </is>
      </c>
    </row>
    <row r="13">
      <c r="A13" s="23" t="inlineStr">
        <is>
          <t>התאים F13 עד F18 מלאים: אומדן, הצעה והפער בהחזר הראשון ובסך התשלומים.</t>
        </is>
      </c>
    </row>
    <row r="14">
      <c r="A14" s="22" t="inlineStr">
        <is>
          <t>הלשונית ״בדיקה״</t>
        </is>
      </c>
    </row>
    <row r="15">
      <c r="A15" s="23" t="inlineStr">
        <is>
          <t>היא משווה את הגיליון למנוע של הקורס לקלט ההתחלתי. הסבילות היא כמה שקלים, כי הגיליון לא מעגל כל ריבית חודשית. בתבנית היא מתעדכנת בזמן שאתם ממלאים: עמודה C היא התוצאות של המנוע, כך שאפשר להציץ בה בסוף, וכשהכול מתאים יופיע ✓ בתחתית.</t>
        </is>
      </c>
    </row>
    <row r="16">
      <c r="A16" s="22" t="inlineStr">
        <is>
          <t>Excel ו־Google Sheets</t>
        </is>
      </c>
    </row>
    <row r="17">
      <c r="A17" s="23" t="inlineStr">
        <is>
          <t>בחלק מההגדרות האזוריות מפרידים בין ארגומנטים בנקודה־פסיק (;). הגיליון משתמש בפונקציות PMT, SUMPRODUCT, COUNTIFS ו־INDEX: הכול קיים גם ב־Google Sheets.</t>
        </is>
      </c>
    </row>
    <row r="18">
      <c r="A18" s="23" t="inlineStr">
        <is>
          <t>שינוי בחירה ישנה את התוצאות, וגם את הבדיקה: היא נכונה לקלט ההתחלתי בלבד.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Mogi</dc:creator>
  <dc:title xmlns:dc="http://purl.org/dc/elements/1.1/">מנוע קטן לבחירת תמהיל — סדנה 8.28</dc:title>
  <dcterms:created xmlns:dcterms="http://purl.org/dc/terms/" xmlns:xsi="http://www.w3.org/2001/XMLSchema-instance" xsi:type="dcterms:W3CDTF">2026-10-17T00:00:00Z</dcterms:created>
  <dcterms:modified xmlns:dcterms="http://purl.org/dc/terms/" xmlns:xsi="http://www.w3.org/2001/XMLSchema-instance" xsi:type="dcterms:W3CDTF">2026-10-17T00:00:00Z</dcterms:modified>
</cp:coreProperties>
</file>