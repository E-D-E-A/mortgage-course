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נוע" sheetId="1" state="visible" r:id="rId1"/>
    <sheet xmlns:r="http://schemas.openxmlformats.org/officeDocument/2006/relationships" name="בדיקה" sheetId="2" state="visible" r:id="rId2"/>
    <sheet xmlns:r="http://schemas.openxmlformats.org/officeDocument/2006/relationships" name="הוראות" sheetId="3" state="visible" r:id="rId3"/>
  </sheets>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8">
    <font>
      <name val="Calibri"/>
      <family val="2"/>
      <color theme="1"/>
      <sz val="11"/>
      <scheme val="minor"/>
    </font>
    <font>
      <name val="Arial"/>
      <b val="1"/>
      <color rgb="0003071E"/>
      <sz val="14"/>
    </font>
    <font>
      <name val="Arial"/>
      <color rgb="004B5165"/>
      <sz val="10"/>
    </font>
    <font>
      <name val="Arial"/>
      <b val="1"/>
      <color rgb="0003071E"/>
      <sz val="11"/>
    </font>
    <font>
      <name val="Arial"/>
      <color rgb="001C2233"/>
      <sz val="11"/>
    </font>
    <font>
      <name val="Arial"/>
      <b val="1"/>
      <color rgb="00FFFFFF"/>
      <sz val="11"/>
    </font>
    <font>
      <name val="Arial"/>
      <b val="1"/>
      <color rgb="00DC2626"/>
      <sz val="11"/>
    </font>
    <font>
      <name val="Arial"/>
      <b val="1"/>
      <color rgb="0003071E"/>
      <sz val="13"/>
    </font>
  </fonts>
  <fills count="5">
    <fill>
      <patternFill/>
    </fill>
    <fill>
      <patternFill patternType="gray125"/>
    </fill>
    <fill>
      <patternFill patternType="solid">
        <fgColor rgb="00A7FFEB"/>
      </patternFill>
    </fill>
    <fill>
      <patternFill patternType="solid">
        <fgColor rgb="0003071E"/>
      </patternFill>
    </fill>
    <fill>
      <patternFill patternType="solid">
        <fgColor rgb="00EEF0F3"/>
      </patternFill>
    </fill>
  </fills>
  <borders count="2">
    <border>
      <left/>
      <right/>
      <top/>
      <bottom/>
      <diagonal/>
    </border>
    <border>
      <left style="thin">
        <color rgb="00DDE1E7"/>
      </left>
      <right style="thin">
        <color rgb="00DDE1E7"/>
      </right>
      <top style="thin">
        <color rgb="00DDE1E7"/>
      </top>
      <bottom style="thin">
        <color rgb="00DDE1E7"/>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4" fontId="3" fillId="2" borderId="1" pivotButton="0" quotePrefix="0" xfId="0"/>
    <xf numFmtId="0" fontId="0" fillId="2" borderId="1" pivotButton="0" quotePrefix="0" xfId="0"/>
    <xf numFmtId="1" fontId="0" fillId="2" borderId="1" pivotButton="0" quotePrefix="0" xfId="0"/>
    <xf numFmtId="2" fontId="0" fillId="2" borderId="1" pivotButton="0" quotePrefix="0" xfId="0"/>
    <xf numFmtId="1" fontId="3" fillId="2" borderId="1" pivotButton="0" quotePrefix="0" xfId="0"/>
    <xf numFmtId="4" fontId="0" fillId="4" borderId="1" pivotButton="0" quotePrefix="0" xfId="0"/>
    <xf numFmtId="2" fontId="3" fillId="2" borderId="1" pivotButton="0" quotePrefix="0" xfId="0"/>
    <xf numFmtId="0" fontId="3" fillId="2" borderId="1" pivotButton="0" quotePrefix="0" xfId="0"/>
    <xf numFmtId="0" fontId="5" fillId="3" borderId="0" applyAlignment="1" pivotButton="0" quotePrefix="0" xfId="0">
      <alignment horizontal="center" wrapText="1"/>
    </xf>
    <xf numFmtId="0" fontId="4" fillId="0" borderId="1" pivotButton="0" quotePrefix="0" xfId="0"/>
    <xf numFmtId="2" fontId="0" fillId="0" borderId="0" pivotButton="0" quotePrefix="0" xfId="0"/>
    <xf numFmtId="1" fontId="0" fillId="0" borderId="0" pivotButton="0" quotePrefix="0" xfId="0"/>
    <xf numFmtId="4" fontId="0" fillId="0" borderId="0" pivotButton="0" quotePrefix="0" xfId="0"/>
    <xf numFmtId="0" fontId="4" fillId="0" borderId="0" applyAlignment="1" pivotButton="0" quotePrefix="0" xfId="0">
      <alignment/>
    </xf>
    <xf numFmtId="0" fontId="6" fillId="0" borderId="0" pivotButton="0" quotePrefix="0" xfId="0"/>
    <xf numFmtId="0" fontId="5" fillId="3" borderId="0" applyAlignment="1" pivotButton="0" quotePrefix="0" xfId="0">
      <alignment horizontal="center" vertical="center" wrapText="1"/>
    </xf>
    <xf numFmtId="164" fontId="0" fillId="0" borderId="0" pivotButton="0" quotePrefix="0" xfId="0"/>
    <xf numFmtId="165" fontId="0" fillId="0" borderId="0" pivotButton="0" quotePrefix="0" xfId="0"/>
    <xf numFmtId="2" fontId="0" fillId="4" borderId="1" pivotButton="0" quotePrefix="0" xfId="0"/>
    <xf numFmtId="1" fontId="0" fillId="4" borderId="1" pivotButton="0" quotePrefix="0" xfId="0"/>
    <xf numFmtId="164" fontId="0" fillId="4" borderId="1" pivotButton="0" quotePrefix="0" xfId="0"/>
    <xf numFmtId="165" fontId="0" fillId="4" borderId="1" pivotButton="0" quotePrefix="0" xfId="0"/>
    <xf numFmtId="0" fontId="5" fillId="3" borderId="0" pivotButton="0" quotePrefix="0" xfId="0"/>
    <xf numFmtId="0" fontId="7"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Mogi</author>
  </authors>
  <commentList>
    <comment ref="E88" authorId="0" shapeId="0">
      <text>
        <t>סכום המסלול = ההלוואה × החלק ÷ 100, מעוגל לאגורה: =ROUND($B$47*B{r}/100,2)</t>
      </text>
    </comment>
    <comment ref="H88" authorId="0" shapeId="0">
      <text>
        <t>ההחזר הראשון = ROUND(-PMT(ריבית שנתית/1200, חודשים, סכום), 2); 0 כשאין חלק</t>
      </text>
    </comment>
    <comment ref="L88" authorId="0" shapeId="0">
      <text>
        <t>אותו חישוב בלי ROUND, מחובר: ההחזר שיחס ההחזר מודד</t>
      </text>
    </comment>
    <comment ref="M88" authorId="0" shapeId="0">
      <text>
        <t>ההחזר החודשי הלא־מעוגל כפול מספר החודשים (בסיס: אין תנועה בריבית)</t>
      </text>
    </comment>
    <comment ref="N88" authorId="0" shapeId="0">
      <text>
        <t>קבועה: אותו החזר. פריים: מחושב מחדש בחודש 13 עם הריבית המוגדלת על היתרה. משתנה: מחושב מחדש אחרי עדכון הריבית</t>
      </text>
    </comment>
    <comment ref="T88" authorId="0" shapeId="0">
      <text>
        <t>1 כשהאילוץ נשבר, 0 כשהוא נשמר. ״מעל״ הוא תמיד חזק</t>
      </text>
    </comment>
    <comment ref="AD88" authorId="0" shapeId="0">
      <text>
        <t>SUMPRODUCT: כמה מועמדים אפשריים לא גרועים בשום מדד ומשופרים לפחות באחד</t>
      </text>
    </comment>
    <comment ref="AL88" authorId="0" shapeId="0">
      <text>
        <t>ממוצע משוקלל של שלושת המנורמלים: הנמוך מנצח</t>
      </text>
    </comment>
    <comment ref="AM88" authorId="0" shapeId="0">
      <text>
        <t>1 + כמה אפשריים עם ציון נמוך יותר + כמה לפני בשוויון</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M154"/>
  <sheetViews>
    <sheetView rightToLeft="1" workbookViewId="0">
      <pane xSplit="1" ySplit="88" topLeftCell="B89"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34"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s>
  <sheetData>
    <row r="1">
      <c r="A1" s="1" t="inlineStr">
        <is>
          <t>מנוע קטן לבחירת תמהיל — סדנה 8.28</t>
        </is>
      </c>
    </row>
    <row r="2">
      <c r="A2" s="2" t="inlineStr">
        <is>
          <t>דוגמה לימודית — נתוני הלקוח והריביות להמחשה בלבד; אינם הצעת בנק או נתוני שוק עדכניים. נתונים סינתטיים. עתיד: זה לא קוד של Mogi.</t>
        </is>
      </c>
    </row>
    <row r="4">
      <c r="A4" s="3" t="inlineStr">
        <is>
          <t>נתוני התיק (סינתטיים, מתוך התיק של השלב)</t>
        </is>
      </c>
      <c r="E4" s="3" t="inlineStr">
        <is>
          <t>הצעת בנק לדוגמה, מול אומדן</t>
        </is>
      </c>
    </row>
    <row r="5">
      <c r="A5" s="4" t="inlineStr">
        <is>
          <t>מחיר הנכס (₪)</t>
        </is>
      </c>
      <c r="B5" s="5" t="n">
        <v>2200000</v>
      </c>
      <c r="E5" t="inlineStr">
        <is>
          <t>בנק ההצעה</t>
        </is>
      </c>
      <c r="F5" s="6" t="inlineStr">
        <is>
          <t>b</t>
        </is>
      </c>
    </row>
    <row r="6">
      <c r="A6" s="4" t="inlineStr">
        <is>
          <t>ההון העצמי של הבסיס (₪)</t>
        </is>
      </c>
      <c r="B6" s="5" t="n">
        <v>560000</v>
      </c>
      <c r="E6" t="inlineStr">
        <is>
          <t>חלק קבועה %</t>
        </is>
      </c>
      <c r="F6" s="7" t="n">
        <v>50</v>
      </c>
    </row>
    <row r="7">
      <c r="A7" s="4" t="inlineStr">
        <is>
          <t>חסכונות (₪)</t>
        </is>
      </c>
      <c r="B7" s="5" t="n">
        <v>40000</v>
      </c>
      <c r="E7" t="inlineStr">
        <is>
          <t>חלק פריים %</t>
        </is>
      </c>
      <c r="F7" s="7" t="n">
        <v>50</v>
      </c>
    </row>
    <row r="8">
      <c r="A8" s="4" t="inlineStr">
        <is>
          <t>תשלום לסגירת הלוואת הרכב (₪)</t>
        </is>
      </c>
      <c r="B8" s="5" t="n">
        <v>36000</v>
      </c>
      <c r="E8" t="inlineStr">
        <is>
          <t>חלק משתנה %</t>
        </is>
      </c>
      <c r="F8" s="7" t="n">
        <v>0</v>
      </c>
    </row>
    <row r="9">
      <c r="A9" s="4" t="inlineStr">
        <is>
          <t>החזר חודשי של הלוואת הרכב (₪)</t>
        </is>
      </c>
      <c r="B9" s="5" t="n">
        <v>1450</v>
      </c>
      <c r="E9" t="inlineStr">
        <is>
          <t>ריבית קבועה בהצעה (%)</t>
        </is>
      </c>
      <c r="F9" s="8" t="n">
        <v>4.35</v>
      </c>
    </row>
    <row r="10">
      <c r="A10" s="4" t="inlineStr">
        <is>
          <t>חודשים שנשארו להלוואת הרכב</t>
        </is>
      </c>
      <c r="B10" s="9" t="n">
        <v>26</v>
      </c>
      <c r="E10" t="inlineStr">
        <is>
          <t>ריבית פריים בהצעה (%)</t>
        </is>
      </c>
      <c r="F10" s="8" t="n">
        <v>4.65</v>
      </c>
    </row>
    <row r="11">
      <c r="A11" s="4" t="inlineStr">
        <is>
          <t>הכנסה נטו של לווה 1 (₪)</t>
        </is>
      </c>
      <c r="B11" s="5" t="n">
        <v>12400</v>
      </c>
      <c r="E11" t="inlineStr">
        <is>
          <t>ריבית משתנה בהצעה (%)</t>
        </is>
      </c>
      <c r="F11" s="8" t="n">
        <v>0</v>
      </c>
    </row>
    <row r="12">
      <c r="A12" s="4" t="inlineStr">
        <is>
          <t>הכנסה נטו של לווה 2 (₪)</t>
        </is>
      </c>
      <c r="B12" s="5" t="n">
        <v>9300</v>
      </c>
    </row>
    <row r="13">
      <c r="A13" s="4" t="inlineStr">
        <is>
          <t>הכנסת הורה, אם מצטרף (₪)</t>
        </is>
      </c>
      <c r="B13" s="5" t="n">
        <v>4000</v>
      </c>
      <c r="E13" s="4" t="inlineStr">
        <is>
          <t>אומדן: ההחזר הראשון (₪)</t>
        </is>
      </c>
      <c r="F13" s="10" t="n"/>
    </row>
    <row r="14">
      <c r="A14" s="4" t="inlineStr">
        <is>
          <t>ההחזר המרבי שהלקוח קבע (₪)</t>
        </is>
      </c>
      <c r="B14" s="5" t="n">
        <v>8300</v>
      </c>
      <c r="E14" s="4" t="inlineStr">
        <is>
          <t>הצעה: ההחזר הראשון (₪)</t>
        </is>
      </c>
      <c r="F14" s="10" t="n"/>
    </row>
    <row r="15">
      <c r="A15" s="4" t="inlineStr">
        <is>
          <t>יעד יחס ההחזר של הלקוח (%)</t>
        </is>
      </c>
      <c r="B15" s="11" t="n">
        <v>40</v>
      </c>
      <c r="E15" s="4" t="inlineStr">
        <is>
          <t>הפער בהחזר הראשון (₪)</t>
        </is>
      </c>
      <c r="F15" s="10" t="n"/>
    </row>
    <row r="16">
      <c r="E16" s="4" t="inlineStr">
        <is>
          <t>אומדן: סך התשלומים (₪)</t>
        </is>
      </c>
      <c r="F16" s="10" t="n"/>
    </row>
    <row r="17">
      <c r="A17" s="3" t="inlineStr">
        <is>
          <t>הבחירות שלכם — מיצוב הבקשה (שנו כאן)</t>
        </is>
      </c>
      <c r="E17" s="4" t="inlineStr">
        <is>
          <t>הצעה: סך התשלומים (₪)</t>
        </is>
      </c>
      <c r="F17" s="10" t="n"/>
    </row>
    <row r="18">
      <c r="A18" s="4" t="inlineStr">
        <is>
          <t>הון עצמי נוסף מהחסכונות (₪)</t>
        </is>
      </c>
      <c r="B18" s="5" t="n">
        <v>20000</v>
      </c>
      <c r="C18" s="2" t="inlineStr">
        <is>
          <t>הערך ההתחלתי הוא הבחירה של שיעור 8.28</t>
        </is>
      </c>
      <c r="E18" s="4" t="inlineStr">
        <is>
          <t>הפער בסך התשלומים (₪)</t>
        </is>
      </c>
      <c r="F18" s="10" t="n"/>
    </row>
    <row r="19">
      <c r="A19" s="4" t="inlineStr">
        <is>
          <t>סוגרים את הלוואת הרכב? (1 כן, 0 לא)</t>
        </is>
      </c>
      <c r="B19" s="9" t="n">
        <v>0</v>
      </c>
    </row>
    <row r="20">
      <c r="A20" s="4" t="inlineStr">
        <is>
          <t>הורה מצטרף כלווה? (1 כן, 0 לא)</t>
        </is>
      </c>
      <c r="B20" s="9" t="n">
        <v>0</v>
      </c>
    </row>
    <row r="21">
      <c r="A21" s="4" t="inlineStr">
        <is>
          <t>בנק (a, b, c או d)</t>
        </is>
      </c>
      <c r="B21" s="12" t="inlineStr">
        <is>
          <t>a</t>
        </is>
      </c>
      <c r="C21" s="2" t="inlineStr">
        <is>
          <t>ארבעה בנקים בדויים</t>
        </is>
      </c>
    </row>
    <row r="22">
      <c r="A22" s="4" t="inlineStr">
        <is>
          <t>משקל: ההחזר הראשון</t>
        </is>
      </c>
      <c r="B22" s="9" t="n">
        <v>40</v>
      </c>
      <c r="C22" s="2" t="inlineStr">
        <is>
          <t>להדגמה: לא החלטה של Mogi</t>
        </is>
      </c>
    </row>
    <row r="23">
      <c r="A23" s="4" t="inlineStr">
        <is>
          <t>משקל: סך התשלומים</t>
        </is>
      </c>
      <c r="B23" s="9" t="n">
        <v>30</v>
      </c>
    </row>
    <row r="24">
      <c r="A24" s="4" t="inlineStr">
        <is>
          <t>משקל: החשיפה</t>
        </is>
      </c>
      <c r="B24" s="9" t="n">
        <v>30</v>
      </c>
    </row>
    <row r="26">
      <c r="A26" s="3" t="inlineStr">
        <is>
          <t>הבנקים הבדויים: מחירון (אחוז לשנה) וקווי סירוב</t>
        </is>
      </c>
    </row>
    <row r="27">
      <c r="A27" s="13" t="inlineStr">
        <is>
          <t>קוד</t>
        </is>
      </c>
      <c r="B27" s="13" t="inlineStr">
        <is>
          <t>שם</t>
        </is>
      </c>
      <c r="C27" s="13" t="inlineStr">
        <is>
          <t>קבועה</t>
        </is>
      </c>
      <c r="D27" s="13" t="inlineStr">
        <is>
          <t>פריים</t>
        </is>
      </c>
      <c r="E27" s="13" t="inlineStr">
        <is>
          <t>משתנה</t>
        </is>
      </c>
      <c r="F27" s="13" t="inlineStr">
        <is>
          <t>סירוב ביחס החזר (%)</t>
        </is>
      </c>
      <c r="G27" s="13" t="inlineStr">
        <is>
          <t>סירוב בשיעור מימון (%)</t>
        </is>
      </c>
    </row>
    <row r="28">
      <c r="A28" s="14" t="inlineStr">
        <is>
          <t>a</t>
        </is>
      </c>
      <c r="B28" s="14" t="inlineStr">
        <is>
          <t>בנק א׳</t>
        </is>
      </c>
      <c r="C28" s="14" t="n">
        <v>4.4</v>
      </c>
      <c r="D28" s="14" t="n">
        <v>4.6</v>
      </c>
      <c r="E28" s="14" t="n">
        <v>4.1</v>
      </c>
      <c r="F28" s="14" t="n">
        <v>45</v>
      </c>
      <c r="G28" s="14" t="n">
        <v>75</v>
      </c>
    </row>
    <row r="29">
      <c r="A29" s="14" t="inlineStr">
        <is>
          <t>b</t>
        </is>
      </c>
      <c r="B29" s="14" t="inlineStr">
        <is>
          <t>בנק ב׳</t>
        </is>
      </c>
      <c r="C29" s="14" t="n">
        <v>4.3</v>
      </c>
      <c r="D29" s="14" t="n">
        <v>4.7</v>
      </c>
      <c r="E29" s="14" t="n">
        <v>4</v>
      </c>
      <c r="F29" s="14" t="n">
        <v>50</v>
      </c>
      <c r="G29" s="14" t="n">
        <v>75</v>
      </c>
    </row>
    <row r="30">
      <c r="A30" s="14" t="inlineStr">
        <is>
          <t>c</t>
        </is>
      </c>
      <c r="B30" s="14" t="inlineStr">
        <is>
          <t>בנק ג׳</t>
        </is>
      </c>
      <c r="C30" s="14" t="n">
        <v>4.35</v>
      </c>
      <c r="D30" s="14" t="n">
        <v>4.55</v>
      </c>
      <c r="E30" s="14" t="n">
        <v>4.2</v>
      </c>
      <c r="F30" s="14" t="n">
        <v>50</v>
      </c>
      <c r="G30" s="14" t="n">
        <v>75</v>
      </c>
    </row>
    <row r="31">
      <c r="A31" s="14" t="inlineStr">
        <is>
          <t>d</t>
        </is>
      </c>
      <c r="B31" s="14" t="inlineStr">
        <is>
          <t>בנק ד׳</t>
        </is>
      </c>
      <c r="C31" s="14" t="n">
        <v>4.45</v>
      </c>
      <c r="D31" s="14" t="n">
        <v>4.65</v>
      </c>
      <c r="E31" s="14" t="n">
        <v>4.15</v>
      </c>
      <c r="F31" s="14" t="n">
        <v>50</v>
      </c>
      <c r="G31" s="14" t="n">
        <v>70</v>
      </c>
    </row>
    <row r="33">
      <c r="A33" s="3" t="inlineStr">
        <is>
          <t>הכללים (כפי שתועדו בקורס; הקווים של הרגולציה: לא אומת)</t>
        </is>
      </c>
    </row>
    <row r="34">
      <c r="A34" s="4" t="inlineStr">
        <is>
          <t>תקרת שיעור מימון (%)</t>
        </is>
      </c>
      <c r="B34" s="15" t="n">
        <v>75</v>
      </c>
    </row>
    <row r="35">
      <c r="A35" s="4" t="inlineStr">
        <is>
          <t>תקרת יחס ההחזר (%)</t>
        </is>
      </c>
      <c r="B35" s="15" t="n">
        <v>50</v>
      </c>
    </row>
    <row r="36">
      <c r="A36" s="4" t="inlineStr">
        <is>
          <t>החלק המרבי בריבית משתנה: מונה</t>
        </is>
      </c>
      <c r="B36" s="16" t="n">
        <v>2</v>
      </c>
    </row>
    <row r="37">
      <c r="A37" s="4" t="inlineStr">
        <is>
          <t>החלק המרבי בריבית משתנה: מכנה</t>
        </is>
      </c>
      <c r="B37" s="16" t="n">
        <v>3</v>
      </c>
    </row>
    <row r="38">
      <c r="A38" s="4" t="inlineStr">
        <is>
          <t>התקופה המרבית (חודשים)</t>
        </is>
      </c>
      <c r="B38" s="16" t="n">
        <v>360</v>
      </c>
    </row>
    <row r="39">
      <c r="A39" s="4" t="inlineStr">
        <is>
          <t>התקופה של כל מסלול בחיפוש (חודשים)</t>
        </is>
      </c>
      <c r="B39" s="16" t="n">
        <v>360</v>
      </c>
    </row>
    <row r="40">
      <c r="A40" s="4" t="inlineStr">
        <is>
          <t>תרחיש לחץ: פריים עולה (נקודות אחוז, מהשנה השנייה)</t>
        </is>
      </c>
      <c r="B40" s="15" t="n">
        <v>2</v>
      </c>
    </row>
    <row r="41">
      <c r="A41" s="4" t="inlineStr">
        <is>
          <t>תרחיש לחץ: העוגן עולה בעדכון (נקודות אחוז)</t>
        </is>
      </c>
      <c r="B41" s="15" t="n">
        <v>2</v>
      </c>
    </row>
    <row r="42">
      <c r="A42" s="4" t="inlineStr">
        <is>
          <t>חודשים בין עדכוני הריבית במסלול משתנה</t>
        </is>
      </c>
      <c r="B42" s="16" t="n">
        <v>60</v>
      </c>
    </row>
    <row r="44">
      <c r="A44" s="3" t="inlineStr">
        <is>
          <t>מיצוב: מהבחירות לבקשה</t>
        </is>
      </c>
    </row>
    <row r="45">
      <c r="A45" s="4" t="inlineStr">
        <is>
          <t>ההון העצמי שנכנס לעסקה (₪)</t>
        </is>
      </c>
      <c r="B45" s="17">
        <f>$B$6+$B$18</f>
        <v>580000</v>
      </c>
    </row>
    <row r="46">
      <c r="A46" s="4" t="inlineStr">
        <is>
          <t>ההון העצמי הזמין (₪)</t>
        </is>
      </c>
      <c r="B46" s="17">
        <f>$B$6+MAX($B$7-IF($B$19=1,$B$8,0),0)</f>
        <v>600000</v>
      </c>
    </row>
    <row r="47">
      <c r="A47" s="4" t="inlineStr">
        <is>
          <t>סכום ההלוואה (₪)</t>
        </is>
      </c>
      <c r="B47" s="17">
        <f>$B$5-$B$45</f>
        <v>1620000</v>
      </c>
    </row>
    <row r="48">
      <c r="A48" s="4" t="inlineStr">
        <is>
          <t>שיעור מימון (%)</t>
        </is>
      </c>
      <c r="B48" s="15">
        <f>$B$47/$B$5*100</f>
        <v>73.6363636363636</v>
      </c>
    </row>
    <row r="49">
      <c r="A49" s="4" t="inlineStr">
        <is>
          <t>הכנסה מוכרת (₪)</t>
        </is>
      </c>
      <c r="B49" s="17">
        <f>$B$11+$B$12+IF($B$20=1,$B$13,0)</f>
        <v>21700</v>
      </c>
    </row>
    <row r="50">
      <c r="A50" s="4" t="inlineStr">
        <is>
          <t>הלוואת הרכב נספרת בחישוב (₪, כשנשארו מעל 18 חודשים)</t>
        </is>
      </c>
      <c r="B50" s="17">
        <f>IF(AND($B$19=0,$B$10&gt;18),$B$9,0)</f>
        <v>1450</v>
      </c>
    </row>
    <row r="51">
      <c r="A51" s="4" t="inlineStr">
        <is>
          <t>הכנסה פנויה (₪)</t>
        </is>
      </c>
      <c r="B51" s="17">
        <f>$B$49-$B$50</f>
        <v>20250</v>
      </c>
    </row>
    <row r="52">
      <c r="A52" s="4" t="inlineStr">
        <is>
          <t>מחירון הבנק: קבועה (%)</t>
        </is>
      </c>
      <c r="B52" s="15">
        <f>INDEX($C$28:$C$31,MATCH($B$21,$A$28:$A$31,0))</f>
        <v>4.4</v>
      </c>
    </row>
    <row r="53">
      <c r="A53" s="4" t="inlineStr">
        <is>
          <t>מחירון הבנק: פריים (%)</t>
        </is>
      </c>
      <c r="B53" s="15">
        <f>INDEX($D$28:$D$31,MATCH($B$21,$A$28:$A$31,0))</f>
        <v>4.6</v>
      </c>
    </row>
    <row r="54">
      <c r="A54" s="4" t="inlineStr">
        <is>
          <t>מחירון הבנק: משתנה (%)</t>
        </is>
      </c>
      <c r="B54" s="15">
        <f>INDEX($E$28:$E$31,MATCH($B$21,$A$28:$A$31,0))</f>
        <v>4.1</v>
      </c>
    </row>
    <row r="55">
      <c r="A55" s="4" t="inlineStr">
        <is>
          <t>קו הסירוב של הבנק ביחס החזר (%)</t>
        </is>
      </c>
      <c r="B55" s="15">
        <f>INDEX($F$28:$F$31,MATCH($B$21,$A$28:$A$31,0))</f>
        <v>45</v>
      </c>
    </row>
    <row r="56">
      <c r="A56" s="4" t="inlineStr">
        <is>
          <t>קו הסירוב של הבנק בשיעור מימון (%)</t>
        </is>
      </c>
      <c r="B56" s="15">
        <f>INDEX($G$28:$G$31,MATCH($B$21,$A$28:$A$31,0))</f>
        <v>75</v>
      </c>
    </row>
    <row r="58">
      <c r="A58" s="3" t="inlineStr">
        <is>
          <t>תוצאות החיפוש</t>
        </is>
      </c>
    </row>
    <row r="59">
      <c r="A59" s="4" t="inlineStr">
        <is>
          <t>כמה מועמדים ברשת</t>
        </is>
      </c>
      <c r="B59" s="16">
        <f>COUNTA($A$89:$A$154)</f>
        <v>66</v>
      </c>
    </row>
    <row r="60">
      <c r="A60" s="4" t="inlineStr">
        <is>
          <t>כמה מהם אפשריים</t>
        </is>
      </c>
      <c r="B60" s="16">
        <f>SUM($AC$89:$AC$154)</f>
        <v>0</v>
      </c>
    </row>
    <row r="61">
      <c r="A61" s="4" t="inlineStr">
        <is>
          <t>כמה מהם יעילים</t>
        </is>
      </c>
      <c r="B61" s="16">
        <f>SUM($AE$89:$AE$154)</f>
        <v>0</v>
      </c>
    </row>
    <row r="62">
      <c r="A62" s="4" t="inlineStr">
        <is>
          <t>המועמד שנבחר</t>
        </is>
      </c>
      <c r="B62" t="str">
        <f>IFERROR(INDEX($A$89:$A$154,MATCH(1,$AM$89:$AM$154,0)),"אין מועמד אפשרי")</f>
        <v>אין מועמד אפשרי</v>
      </c>
    </row>
    <row r="63">
      <c r="A63" s="4" t="inlineStr">
        <is>
          <t>ההחזר הראשון שלו (₪)</t>
        </is>
      </c>
      <c r="B63" s="17" t="str">
        <f>IFERROR(INDEX($K$89:$K$154,MATCH(1,$AM$89:$AM$154,0)),"")</f>
        <v/>
      </c>
    </row>
    <row r="64">
      <c r="A64" s="4" t="inlineStr">
        <is>
          <t>סך התשלומים שלו (₪)</t>
        </is>
      </c>
      <c r="B64" s="17" t="str">
        <f>IFERROR(INDEX($M$89:$M$154,MATCH(1,$AM$89:$AM$154,0)),"")</f>
        <v/>
      </c>
    </row>
    <row r="65">
      <c r="A65" s="4" t="inlineStr">
        <is>
          <t>החשיפה שלו (₪)</t>
        </is>
      </c>
      <c r="B65" s="17" t="str">
        <f>IFERROR(INDEX($O$89:$O$154,MATCH(1,$AM$89:$AM$154,0)),"")</f>
        <v/>
      </c>
    </row>
    <row r="66">
      <c r="A66" s="4" t="inlineStr">
        <is>
          <t>המקום השני</t>
        </is>
      </c>
      <c r="B66" t="str">
        <f>IFERROR(INDEX($A$89:$A$154,MATCH(2,$AM$89:$AM$154,0)),"אין")</f>
        <v>אין</v>
      </c>
    </row>
    <row r="67">
      <c r="A67" s="4" t="inlineStr">
        <is>
          <t>ההפרש בהחזר הראשון: השני פחות הנבחר (₪)</t>
        </is>
      </c>
      <c r="B67" s="17" t="str">
        <f>IFERROR(INDEX($K$89:$K$154,MATCH(2,$AM$89:$AM$154,0))-$B$63,"")</f>
        <v/>
      </c>
    </row>
    <row r="68">
      <c r="A68" s="4" t="inlineStr">
        <is>
          <t>ההפרש בסך התשלומים (₪)</t>
        </is>
      </c>
      <c r="B68" s="17" t="str">
        <f>IFERROR(INDEX($M$89:$M$154,MATCH(2,$AM$89:$AM$154,0))-$B$64,"")</f>
        <v/>
      </c>
    </row>
    <row r="69">
      <c r="A69" s="4" t="inlineStr">
        <is>
          <t>ההפרש בחשיפה (₪)</t>
        </is>
      </c>
      <c r="B69" s="17" t="str">
        <f>IFERROR(INDEX($O$89:$O$154,MATCH(2,$AM$89:$AM$154,0))-$B$65,"")</f>
        <v/>
      </c>
    </row>
    <row r="71">
      <c r="A71" s="3" t="inlineStr">
        <is>
          <t>למה נפסלו מועמדים: כמה נפסלו בכל אילוץ</t>
        </is>
      </c>
    </row>
    <row r="72">
      <c r="A72" s="4" t="inlineStr">
        <is>
          <t>סכום המסלולים שווה להלוואה</t>
        </is>
      </c>
      <c r="B72">
        <f>SUM($R$89:$R$154)</f>
        <v>0</v>
      </c>
    </row>
    <row r="73">
      <c r="A73" s="4" t="inlineStr">
        <is>
          <t>ההון העצמי קיים</t>
        </is>
      </c>
      <c r="B73">
        <f>SUM($S$89:$S$154)</f>
        <v>0</v>
      </c>
    </row>
    <row r="74">
      <c r="A74" s="4" t="inlineStr">
        <is>
          <t>שיעור מימון עד התקרה</t>
        </is>
      </c>
      <c r="B74">
        <f>SUM($T$89:$T$154)</f>
        <v>0</v>
      </c>
    </row>
    <row r="75">
      <c r="A75" s="4" t="inlineStr">
        <is>
          <t>יחס החזר עד 50%</t>
        </is>
      </c>
      <c r="B75">
        <f>SUM($U$89:$U$154)</f>
        <v>0</v>
      </c>
    </row>
    <row r="76">
      <c r="A76" s="4" t="inlineStr">
        <is>
          <t>לפחות שליש בריבית קבועה</t>
        </is>
      </c>
      <c r="B76">
        <f>SUM($V$89:$V$154)</f>
        <v>1</v>
      </c>
    </row>
    <row r="77">
      <c r="A77" s="4" t="inlineStr">
        <is>
          <t>עד 30 שנה</t>
        </is>
      </c>
      <c r="B77">
        <f>SUM($W$89:$W$154)</f>
        <v>0</v>
      </c>
    </row>
    <row r="78">
      <c r="A78" s="4" t="inlineStr">
        <is>
          <t>יחס ההחזר עד הקו של הבנק</t>
        </is>
      </c>
      <c r="B78">
        <f>SUM($X$89:$X$154)</f>
        <v>0</v>
      </c>
    </row>
    <row r="79">
      <c r="A79" s="4" t="inlineStr">
        <is>
          <t>שיעור המימון עד הקו של הבנק</t>
        </is>
      </c>
      <c r="B79">
        <f>SUM($Y$89:$Y$154)</f>
        <v>0</v>
      </c>
    </row>
    <row r="80">
      <c r="A80" s="4" t="inlineStr">
        <is>
          <t>ההחזר עד המרבי שהלקוח קבע</t>
        </is>
      </c>
      <c r="B80">
        <f>SUM($Z$89:$Z$154)</f>
        <v>0</v>
      </c>
    </row>
    <row r="81">
      <c r="A81" s="4" t="inlineStr">
        <is>
          <t>יחס ההחזר עד יעד הלקוח</t>
        </is>
      </c>
      <c r="B81">
        <f>SUM($AA$89:$AA$154)</f>
        <v>0</v>
      </c>
    </row>
    <row r="82">
      <c r="B82" t="inlineStr">
        <is>
          <t>הנמוך</t>
        </is>
      </c>
      <c r="C82" t="inlineStr">
        <is>
          <t>הגבוה</t>
        </is>
      </c>
    </row>
    <row r="83">
      <c r="A83" s="3" t="inlineStr">
        <is>
          <t>ההסבר, מתוך המספרים בלבד</t>
        </is>
      </c>
      <c r="B83" s="17">
        <f>IF(COUNT($AF$89:$AF$154)=0,MIN($K$89:$K$154),MIN($AF$89:$AF$154))</f>
        <v>7827.81</v>
      </c>
      <c r="C83" s="17">
        <f>IF(COUNT($AF$89:$AF$154)=0,MAX($K$89:$K$154),MAX($AF$89:$AF$154))</f>
        <v>7827.81</v>
      </c>
    </row>
    <row r="84">
      <c r="A84" s="18" t="str">
        <f>IF(ISNUMBER($B$63),"נבחר תמהיל "&amp;INDEX($B$89:$B$154,MATCH(1,$AM$89:$AM$154,0))&amp;"% קבועה, "&amp;INDEX($C$89:$C$154,MATCH(1,$AM$89:$AM$154,0))&amp;"% פריים ו־"&amp;INDEX($D$89:$D$154,MATCH(1,$AM$89:$AM$154,0))&amp;"% משתנה. ההחזר הראשון "&amp;TEXT($B$63,"#,##0.00")&amp;" ₪, סך התשלומים "&amp;TEXT($B$64,"#,##0")&amp;" ₪, החשיפה "&amp;TEXT($B$65,"#,##0.00")&amp;" ₪.","אף מועמד לא עבר את כל האילוצים: שנו את הבחירות.")</f>
        <v>אף מועמד לא עבר את כל האילוצים: שנו את הבחירות.</v>
      </c>
      <c r="B84" s="17">
        <f>IF(COUNT($AG$89:$AG$154)=0,MIN($M$89:$M$154),MIN($AG$89:$AG$154))</f>
        <v>2818012.90026971</v>
      </c>
      <c r="C84" s="17">
        <f>IF(COUNT($AG$89:$AG$154)=0,MAX($M$89:$M$154),MAX($AG$89:$AG$154))</f>
        <v>2818012.90026971</v>
      </c>
    </row>
    <row r="85">
      <c r="A85" s="18" t="str">
        <f>"נפסלו "&amp;($B$59-$B$60)&amp;" מתוך "&amp;$B$59&amp;" מועמדים. מתוך האפשריים "&amp;$B$61&amp;" יעילים: לא ניתן לשפר בהם מדד בלי לפגוע באחר."</f>
        <v>נפסלו 66 מתוך 66 מועמדים. מתוך האפשריים 0 יעילים: לא ניתן לשפר בהם מדד בלי לפגוע באחר.</v>
      </c>
      <c r="B85" s="17">
        <f>IF(COUNT($AH$89:$AH$154)=0,MIN($O$89:$O$154),MIN($AH$89:$AH$154))</f>
        <v>1717.89182275674</v>
      </c>
      <c r="C85" s="17">
        <f>IF(COUNT($AH$89:$AH$154)=0,MAX($O$89:$O$154),MAX($AH$89:$AH$154))</f>
        <v>1717.89182275674</v>
      </c>
    </row>
    <row r="86">
      <c r="A86" s="18" t="inlineStr">
        <is>
          <t>הניסוח במילים הוא רק ניסוח: כל מספר בו הוא מספר של המנוע. מודל שפה לעולם לא מחשב.</t>
        </is>
      </c>
    </row>
    <row r="87">
      <c r="A87" s="19" t="inlineStr">
        <is>
          <t>שורה 1 של הרשת מלאה כדוגמה. כתבו את אותן נוסחאות בשורות האחרות (העתקה למטה).</t>
        </is>
      </c>
    </row>
    <row r="88" ht="48" customHeight="1">
      <c r="A88" s="20" t="inlineStr">
        <is>
          <t>מועמד</t>
        </is>
      </c>
      <c r="B88" s="20" t="inlineStr">
        <is>
          <t>קבועה %</t>
        </is>
      </c>
      <c r="C88" s="20" t="inlineStr">
        <is>
          <t>פריים %</t>
        </is>
      </c>
      <c r="D88" s="20" t="inlineStr">
        <is>
          <t>משתנה %</t>
        </is>
      </c>
      <c r="E88" s="20" t="inlineStr">
        <is>
          <t>סכום קבועה</t>
        </is>
      </c>
      <c r="F88" s="20" t="inlineStr">
        <is>
          <t>סכום פריים</t>
        </is>
      </c>
      <c r="G88" s="20" t="inlineStr">
        <is>
          <t>סכום משתנה</t>
        </is>
      </c>
      <c r="H88" s="20" t="inlineStr">
        <is>
          <t>החזר ראשון קבועה</t>
        </is>
      </c>
      <c r="I88" s="20" t="inlineStr">
        <is>
          <t>החזר ראשון פריים</t>
        </is>
      </c>
      <c r="J88" s="20" t="inlineStr">
        <is>
          <t>החזר ראשון משתנה</t>
        </is>
      </c>
      <c r="K88" s="20" t="inlineStr">
        <is>
          <t>ההחזר הראשון</t>
        </is>
      </c>
      <c r="L88" s="20" t="inlineStr">
        <is>
          <t>ההחזר לחישוב היחס (בלי עיגול)</t>
        </is>
      </c>
      <c r="M88" s="20" t="inlineStr">
        <is>
          <t>סך התשלומים</t>
        </is>
      </c>
      <c r="N88" s="20" t="inlineStr">
        <is>
          <t>ההחזר הגבוה בלחץ</t>
        </is>
      </c>
      <c r="O88" s="20" t="inlineStr">
        <is>
          <t>חשיפה</t>
        </is>
      </c>
      <c r="P88" s="20" t="inlineStr">
        <is>
          <t>חלק משתנה %</t>
        </is>
      </c>
      <c r="Q88" s="20" t="inlineStr">
        <is>
          <t>יחס החזר %</t>
        </is>
      </c>
      <c r="R88" s="20" t="inlineStr">
        <is>
          <t>סכום המסלולים שווה להלוואה</t>
        </is>
      </c>
      <c r="S88" s="20" t="inlineStr">
        <is>
          <t>ההון העצמי קיים</t>
        </is>
      </c>
      <c r="T88" s="20" t="inlineStr">
        <is>
          <t>שיעור מימון עד התקרה</t>
        </is>
      </c>
      <c r="U88" s="20" t="inlineStr">
        <is>
          <t>יחס החזר עד 50%</t>
        </is>
      </c>
      <c r="V88" s="20" t="inlineStr">
        <is>
          <t>לפחות שליש בריבית קבועה</t>
        </is>
      </c>
      <c r="W88" s="20" t="inlineStr">
        <is>
          <t>עד 30 שנה</t>
        </is>
      </c>
      <c r="X88" s="20" t="inlineStr">
        <is>
          <t>יחס ההחזר עד הקו של הבנק</t>
        </is>
      </c>
      <c r="Y88" s="20" t="inlineStr">
        <is>
          <t>שיעור המימון עד הקו של הבנק</t>
        </is>
      </c>
      <c r="Z88" s="20" t="inlineStr">
        <is>
          <t>ההחזר עד המרבי שהלקוח קבע</t>
        </is>
      </c>
      <c r="AA88" s="20" t="inlineStr">
        <is>
          <t>יחס ההחזר עד יעד הלקוח</t>
        </is>
      </c>
      <c r="AB88" s="20" t="inlineStr">
        <is>
          <t>מספר סיבות פסילה</t>
        </is>
      </c>
      <c r="AC88" s="20" t="inlineStr">
        <is>
          <t>אפשרי? (1 כן)</t>
        </is>
      </c>
      <c r="AD88" s="20" t="inlineStr">
        <is>
          <t>כמה אפשריים שולטים עליו</t>
        </is>
      </c>
      <c r="AE88" s="20" t="inlineStr">
        <is>
          <t>יעיל? (1 כן)</t>
        </is>
      </c>
      <c r="AF88" s="20" t="inlineStr">
        <is>
          <t>ההחזר הראשון (אפשריים)</t>
        </is>
      </c>
      <c r="AG88" s="20" t="inlineStr">
        <is>
          <t>סך התשלומים (אפשריים)</t>
        </is>
      </c>
      <c r="AH88" s="20" t="inlineStr">
        <is>
          <t>חשיפה (אפשריים)</t>
        </is>
      </c>
      <c r="AI88" s="20" t="inlineStr">
        <is>
          <t>מנורמל: ראשון</t>
        </is>
      </c>
      <c r="AJ88" s="20" t="inlineStr">
        <is>
          <t>מנורמל: סך</t>
        </is>
      </c>
      <c r="AK88" s="20" t="inlineStr">
        <is>
          <t>מנורמל: חשיפה</t>
        </is>
      </c>
      <c r="AL88" s="20" t="inlineStr">
        <is>
          <t>ציון משוקלל</t>
        </is>
      </c>
      <c r="AM88" s="20" t="inlineStr">
        <is>
          <t>דירוג בין האפשריים</t>
        </is>
      </c>
    </row>
    <row r="89">
      <c r="A89" t="inlineStr">
        <is>
          <t>g0-0-100</t>
        </is>
      </c>
      <c r="B89" t="n">
        <v>0</v>
      </c>
      <c r="C89" t="n">
        <v>0</v>
      </c>
      <c r="D89" t="n">
        <v>100</v>
      </c>
      <c r="E89" s="17">
        <f>ROUND($B$47*B89/100,2)</f>
        <v>0</v>
      </c>
      <c r="F89" s="17">
        <f>ROUND($B$47*C89/100,2)</f>
        <v>0</v>
      </c>
      <c r="G89" s="17">
        <f>ROUND($B$47*D89/100,2)</f>
        <v>1620000</v>
      </c>
      <c r="H89" s="17">
        <f>IF(E89&gt;0,ROUND(-PMT($B$52/1200,$B$39,E89),2),0)</f>
        <v>0</v>
      </c>
      <c r="I89" s="17">
        <f>IF(F89&gt;0,ROUND(-PMT($B$53/1200,$B$39,F89),2),0)</f>
        <v>0</v>
      </c>
      <c r="J89" s="17">
        <f>IF(G89&gt;0,ROUND(-PMT($B$54/1200,$B$39,G89),2),0)</f>
        <v>7827.81</v>
      </c>
      <c r="K89" s="17">
        <f>H89+I89+J89</f>
        <v>7827.81</v>
      </c>
      <c r="L89" s="17">
        <f>IF(E89&gt;0,-PMT($B$52/1200,$B$39,E89),0)+IF(F89&gt;0,-PMT($B$53/1200,$B$39,F89),0)+IF(G89&gt;0,-PMT($B$54/1200,$B$39,G89),0)</f>
        <v>7827.8136118603</v>
      </c>
      <c r="M89" s="17">
        <f>L89*$B$39</f>
        <v>2818012.90026971</v>
      </c>
      <c r="N89" s="17">
        <f>IF(E89&gt;0,-PMT($B$52/1200,$B$39,E89),0)+IF(F89&gt;0,-PMT(($B$53+$B$40)/1200,$B$39-12,F89*((1+$B$53/1200)^$B$39-(1+$B$53/1200)^12)/((1+$B$53/1200)^$B$39-1)),0)+IF(G89&gt;0,-PMT(($B$54+$B$41)/1200,$B$39-$B$42,G89*((1+$B$54/1200)^$B$39-(1+$B$54/1200)^$B$42)/((1+$B$54/1200)^$B$39-1)),0)</f>
        <v>9545.70182275674</v>
      </c>
      <c r="O89" s="17">
        <f>N89-K89</f>
        <v>1717.89182275674</v>
      </c>
      <c r="P89" s="15">
        <f>C89+D89</f>
        <v>100</v>
      </c>
      <c r="Q89" s="15">
        <f>IF($B$51&gt;0,L89/$B$51*100,1000000)</f>
        <v>38.655869688199</v>
      </c>
      <c r="R89" s="16">
        <f>IF(ABS(E89+F89+G89-$B$47)&gt;0.005,1,0)</f>
        <v>0</v>
      </c>
      <c r="S89" s="16">
        <f>IF($B$45&gt;$B$46,1,0)</f>
        <v>0</v>
      </c>
      <c r="T89" s="16">
        <f>IF($B$48&gt;$B$34,1,0)</f>
        <v>0</v>
      </c>
      <c r="U89" s="16">
        <f>IF(Q89&gt;$B$35,1,0)</f>
        <v>0</v>
      </c>
      <c r="V89" s="16">
        <f>IF((F89+G89)*$B$37&gt;$B$47*$B$36,1,0)</f>
        <v>1</v>
      </c>
      <c r="W89" s="16">
        <f>IF($B$39&gt;$B$38,1,0)</f>
        <v>0</v>
      </c>
      <c r="X89" s="16">
        <f>IF(Q89&gt;$B$55,1,0)</f>
        <v>0</v>
      </c>
      <c r="Y89" s="16">
        <f>IF($B$48&gt;$B$56,1,0)</f>
        <v>0</v>
      </c>
      <c r="Z89" s="16">
        <f>IF(L89&gt;$B$14,1,0)</f>
        <v>0</v>
      </c>
      <c r="AA89" s="16">
        <f>IF(Q89&gt;$B$15,1,0)</f>
        <v>0</v>
      </c>
      <c r="AB89" s="16">
        <f>SUM(R89:AA89)</f>
        <v>1</v>
      </c>
      <c r="AC89" s="16">
        <f>IF(AB89=0,1,0)</f>
        <v>0</v>
      </c>
      <c r="AD89" s="16" t="str">
        <f>IF(AC89=1,SUMPRODUCT(($AC$89:$AC$154=1)*($K$89:$K$154&lt;=K89)*($M$89:$M$154&lt;=M89)*($O$89:$O$154&lt;=O89)*((($K$89:$K$154&lt;K89)+($M$89:$M$154&lt;M89)+($O$89:$O$154&lt;O89))&gt;0)),"")</f>
        <v/>
      </c>
      <c r="AE89" s="16">
        <f>IF(AC89=1,IF(AD89=0,1,0),0)</f>
        <v>0</v>
      </c>
      <c r="AF89" s="17" t="str">
        <f>IF(AC89=1,K89,"")</f>
        <v/>
      </c>
      <c r="AG89" s="17" t="str">
        <f>IF(AC89=1,M89,"")</f>
        <v/>
      </c>
      <c r="AH89" s="17" t="str">
        <f>IF(AC89=1,O89,"")</f>
        <v/>
      </c>
      <c r="AI89" s="21">
        <f>IF($C$83=$B$83,0,ROUND((K89-$B$83)/($C$83-$B$83),4))</f>
        <v>0</v>
      </c>
      <c r="AJ89" s="21">
        <f>IF($C$84=$B$84,0,ROUND((M89-$B$84)/($C$84-$B$84),4))</f>
        <v>0</v>
      </c>
      <c r="AK89" s="21">
        <f>IF($C$85=$B$85,0,ROUND((O89-$B$85)/($C$85-$B$85),4))</f>
        <v>0</v>
      </c>
      <c r="AL89" s="22">
        <f>ROUND(($B$22*AI89+$B$23*AJ89+$B$24*AK89)/($B$22+$B$23+$B$24),9)</f>
        <v>0</v>
      </c>
      <c r="AM89" s="16" t="str">
        <f>IF(AC89=1,1+COUNTIFS($AC$89:$AC$154,1,$AL$89:$AL$154,"&lt;"&amp;AL89)+COUNTIFS($AC$88:AC88,1,$AL$88:AL88,AL89),"")</f>
        <v/>
      </c>
    </row>
    <row r="90">
      <c r="A90" t="inlineStr">
        <is>
          <t>g0-10-90</t>
        </is>
      </c>
      <c r="B90" t="n">
        <v>0</v>
      </c>
      <c r="C90" t="n">
        <v>10</v>
      </c>
      <c r="D90" t="n">
        <v>90</v>
      </c>
      <c r="E90" s="10" t="n"/>
      <c r="F90" s="10" t="n"/>
      <c r="G90" s="10" t="n"/>
      <c r="H90" s="10" t="n"/>
      <c r="I90" s="10" t="n"/>
      <c r="J90" s="10" t="n"/>
      <c r="K90" s="10" t="n"/>
      <c r="L90" s="10" t="n"/>
      <c r="M90" s="10" t="n"/>
      <c r="N90" s="10" t="n"/>
      <c r="O90" s="10" t="n"/>
      <c r="P90" s="23" t="n"/>
      <c r="Q90" s="23" t="n"/>
      <c r="R90" s="24" t="n"/>
      <c r="S90" s="24" t="n"/>
      <c r="T90" s="24" t="n"/>
      <c r="U90" s="24" t="n"/>
      <c r="V90" s="24" t="n"/>
      <c r="W90" s="24" t="n"/>
      <c r="X90" s="24" t="n"/>
      <c r="Y90" s="24" t="n"/>
      <c r="Z90" s="24" t="n"/>
      <c r="AA90" s="24" t="n"/>
      <c r="AB90" s="24" t="n"/>
      <c r="AC90" s="24" t="n"/>
      <c r="AD90" s="24" t="n"/>
      <c r="AE90" s="24" t="n"/>
      <c r="AF90" s="10" t="n"/>
      <c r="AG90" s="10" t="n"/>
      <c r="AH90" s="10" t="n"/>
      <c r="AI90" s="25" t="n"/>
      <c r="AJ90" s="25" t="n"/>
      <c r="AK90" s="25" t="n"/>
      <c r="AL90" s="26" t="n"/>
      <c r="AM90" s="24" t="n"/>
    </row>
    <row r="91">
      <c r="A91" t="inlineStr">
        <is>
          <t>g0-20-80</t>
        </is>
      </c>
      <c r="B91" t="n">
        <v>0</v>
      </c>
      <c r="C91" t="n">
        <v>20</v>
      </c>
      <c r="D91" t="n">
        <v>80</v>
      </c>
      <c r="E91" s="10" t="n"/>
      <c r="F91" s="10" t="n"/>
      <c r="G91" s="10" t="n"/>
      <c r="H91" s="10" t="n"/>
      <c r="I91" s="10" t="n"/>
      <c r="J91" s="10" t="n"/>
      <c r="K91" s="10" t="n"/>
      <c r="L91" s="10" t="n"/>
      <c r="M91" s="10" t="n"/>
      <c r="N91" s="10" t="n"/>
      <c r="O91" s="10" t="n"/>
      <c r="P91" s="23" t="n"/>
      <c r="Q91" s="23" t="n"/>
      <c r="R91" s="24" t="n"/>
      <c r="S91" s="24" t="n"/>
      <c r="T91" s="24" t="n"/>
      <c r="U91" s="24" t="n"/>
      <c r="V91" s="24" t="n"/>
      <c r="W91" s="24" t="n"/>
      <c r="X91" s="24" t="n"/>
      <c r="Y91" s="24" t="n"/>
      <c r="Z91" s="24" t="n"/>
      <c r="AA91" s="24" t="n"/>
      <c r="AB91" s="24" t="n"/>
      <c r="AC91" s="24" t="n"/>
      <c r="AD91" s="24" t="n"/>
      <c r="AE91" s="24" t="n"/>
      <c r="AF91" s="10" t="n"/>
      <c r="AG91" s="10" t="n"/>
      <c r="AH91" s="10" t="n"/>
      <c r="AI91" s="25" t="n"/>
      <c r="AJ91" s="25" t="n"/>
      <c r="AK91" s="25" t="n"/>
      <c r="AL91" s="26" t="n"/>
      <c r="AM91" s="24" t="n"/>
    </row>
    <row r="92">
      <c r="A92" t="inlineStr">
        <is>
          <t>g0-30-70</t>
        </is>
      </c>
      <c r="B92" t="n">
        <v>0</v>
      </c>
      <c r="C92" t="n">
        <v>30</v>
      </c>
      <c r="D92" t="n">
        <v>70</v>
      </c>
      <c r="E92" s="10" t="n"/>
      <c r="F92" s="10" t="n"/>
      <c r="G92" s="10" t="n"/>
      <c r="H92" s="10" t="n"/>
      <c r="I92" s="10" t="n"/>
      <c r="J92" s="10" t="n"/>
      <c r="K92" s="10" t="n"/>
      <c r="L92" s="10" t="n"/>
      <c r="M92" s="10" t="n"/>
      <c r="N92" s="10" t="n"/>
      <c r="O92" s="10" t="n"/>
      <c r="P92" s="23" t="n"/>
      <c r="Q92" s="23" t="n"/>
      <c r="R92" s="24" t="n"/>
      <c r="S92" s="24" t="n"/>
      <c r="T92" s="24" t="n"/>
      <c r="U92" s="24" t="n"/>
      <c r="V92" s="24" t="n"/>
      <c r="W92" s="24" t="n"/>
      <c r="X92" s="24" t="n"/>
      <c r="Y92" s="24" t="n"/>
      <c r="Z92" s="24" t="n"/>
      <c r="AA92" s="24" t="n"/>
      <c r="AB92" s="24" t="n"/>
      <c r="AC92" s="24" t="n"/>
      <c r="AD92" s="24" t="n"/>
      <c r="AE92" s="24" t="n"/>
      <c r="AF92" s="10" t="n"/>
      <c r="AG92" s="10" t="n"/>
      <c r="AH92" s="10" t="n"/>
      <c r="AI92" s="25" t="n"/>
      <c r="AJ92" s="25" t="n"/>
      <c r="AK92" s="25" t="n"/>
      <c r="AL92" s="26" t="n"/>
      <c r="AM92" s="24" t="n"/>
    </row>
    <row r="93">
      <c r="A93" t="inlineStr">
        <is>
          <t>g0-40-60</t>
        </is>
      </c>
      <c r="B93" t="n">
        <v>0</v>
      </c>
      <c r="C93" t="n">
        <v>40</v>
      </c>
      <c r="D93" t="n">
        <v>60</v>
      </c>
      <c r="E93" s="10" t="n"/>
      <c r="F93" s="10" t="n"/>
      <c r="G93" s="10" t="n"/>
      <c r="H93" s="10" t="n"/>
      <c r="I93" s="10" t="n"/>
      <c r="J93" s="10" t="n"/>
      <c r="K93" s="10" t="n"/>
      <c r="L93" s="10" t="n"/>
      <c r="M93" s="10" t="n"/>
      <c r="N93" s="10" t="n"/>
      <c r="O93" s="10" t="n"/>
      <c r="P93" s="23" t="n"/>
      <c r="Q93" s="23" t="n"/>
      <c r="R93" s="24" t="n"/>
      <c r="S93" s="24" t="n"/>
      <c r="T93" s="24" t="n"/>
      <c r="U93" s="24" t="n"/>
      <c r="V93" s="24" t="n"/>
      <c r="W93" s="24" t="n"/>
      <c r="X93" s="24" t="n"/>
      <c r="Y93" s="24" t="n"/>
      <c r="Z93" s="24" t="n"/>
      <c r="AA93" s="24" t="n"/>
      <c r="AB93" s="24" t="n"/>
      <c r="AC93" s="24" t="n"/>
      <c r="AD93" s="24" t="n"/>
      <c r="AE93" s="24" t="n"/>
      <c r="AF93" s="10" t="n"/>
      <c r="AG93" s="10" t="n"/>
      <c r="AH93" s="10" t="n"/>
      <c r="AI93" s="25" t="n"/>
      <c r="AJ93" s="25" t="n"/>
      <c r="AK93" s="25" t="n"/>
      <c r="AL93" s="26" t="n"/>
      <c r="AM93" s="24" t="n"/>
    </row>
    <row r="94">
      <c r="A94" t="inlineStr">
        <is>
          <t>g0-50-50</t>
        </is>
      </c>
      <c r="B94" t="n">
        <v>0</v>
      </c>
      <c r="C94" t="n">
        <v>50</v>
      </c>
      <c r="D94" t="n">
        <v>50</v>
      </c>
      <c r="E94" s="10" t="n"/>
      <c r="F94" s="10" t="n"/>
      <c r="G94" s="10" t="n"/>
      <c r="H94" s="10" t="n"/>
      <c r="I94" s="10" t="n"/>
      <c r="J94" s="10" t="n"/>
      <c r="K94" s="10" t="n"/>
      <c r="L94" s="10" t="n"/>
      <c r="M94" s="10" t="n"/>
      <c r="N94" s="10" t="n"/>
      <c r="O94" s="10" t="n"/>
      <c r="P94" s="23" t="n"/>
      <c r="Q94" s="23" t="n"/>
      <c r="R94" s="24" t="n"/>
      <c r="S94" s="24" t="n"/>
      <c r="T94" s="24" t="n"/>
      <c r="U94" s="24" t="n"/>
      <c r="V94" s="24" t="n"/>
      <c r="W94" s="24" t="n"/>
      <c r="X94" s="24" t="n"/>
      <c r="Y94" s="24" t="n"/>
      <c r="Z94" s="24" t="n"/>
      <c r="AA94" s="24" t="n"/>
      <c r="AB94" s="24" t="n"/>
      <c r="AC94" s="24" t="n"/>
      <c r="AD94" s="24" t="n"/>
      <c r="AE94" s="24" t="n"/>
      <c r="AF94" s="10" t="n"/>
      <c r="AG94" s="10" t="n"/>
      <c r="AH94" s="10" t="n"/>
      <c r="AI94" s="25" t="n"/>
      <c r="AJ94" s="25" t="n"/>
      <c r="AK94" s="25" t="n"/>
      <c r="AL94" s="26" t="n"/>
      <c r="AM94" s="24" t="n"/>
    </row>
    <row r="95">
      <c r="A95" t="inlineStr">
        <is>
          <t>g0-60-40</t>
        </is>
      </c>
      <c r="B95" t="n">
        <v>0</v>
      </c>
      <c r="C95" t="n">
        <v>60</v>
      </c>
      <c r="D95" t="n">
        <v>40</v>
      </c>
      <c r="E95" s="10" t="n"/>
      <c r="F95" s="10" t="n"/>
      <c r="G95" s="10" t="n"/>
      <c r="H95" s="10" t="n"/>
      <c r="I95" s="10" t="n"/>
      <c r="J95" s="10" t="n"/>
      <c r="K95" s="10" t="n"/>
      <c r="L95" s="10" t="n"/>
      <c r="M95" s="10" t="n"/>
      <c r="N95" s="10" t="n"/>
      <c r="O95" s="10" t="n"/>
      <c r="P95" s="23" t="n"/>
      <c r="Q95" s="23" t="n"/>
      <c r="R95" s="24" t="n"/>
      <c r="S95" s="24" t="n"/>
      <c r="T95" s="24" t="n"/>
      <c r="U95" s="24" t="n"/>
      <c r="V95" s="24" t="n"/>
      <c r="W95" s="24" t="n"/>
      <c r="X95" s="24" t="n"/>
      <c r="Y95" s="24" t="n"/>
      <c r="Z95" s="24" t="n"/>
      <c r="AA95" s="24" t="n"/>
      <c r="AB95" s="24" t="n"/>
      <c r="AC95" s="24" t="n"/>
      <c r="AD95" s="24" t="n"/>
      <c r="AE95" s="24" t="n"/>
      <c r="AF95" s="10" t="n"/>
      <c r="AG95" s="10" t="n"/>
      <c r="AH95" s="10" t="n"/>
      <c r="AI95" s="25" t="n"/>
      <c r="AJ95" s="25" t="n"/>
      <c r="AK95" s="25" t="n"/>
      <c r="AL95" s="26" t="n"/>
      <c r="AM95" s="24" t="n"/>
    </row>
    <row r="96">
      <c r="A96" t="inlineStr">
        <is>
          <t>g0-70-30</t>
        </is>
      </c>
      <c r="B96" t="n">
        <v>0</v>
      </c>
      <c r="C96" t="n">
        <v>70</v>
      </c>
      <c r="D96" t="n">
        <v>30</v>
      </c>
      <c r="E96" s="10" t="n"/>
      <c r="F96" s="10" t="n"/>
      <c r="G96" s="10" t="n"/>
      <c r="H96" s="10" t="n"/>
      <c r="I96" s="10" t="n"/>
      <c r="J96" s="10" t="n"/>
      <c r="K96" s="10" t="n"/>
      <c r="L96" s="10" t="n"/>
      <c r="M96" s="10" t="n"/>
      <c r="N96" s="10" t="n"/>
      <c r="O96" s="10" t="n"/>
      <c r="P96" s="23" t="n"/>
      <c r="Q96" s="23" t="n"/>
      <c r="R96" s="24" t="n"/>
      <c r="S96" s="24" t="n"/>
      <c r="T96" s="24" t="n"/>
      <c r="U96" s="24" t="n"/>
      <c r="V96" s="24" t="n"/>
      <c r="W96" s="24" t="n"/>
      <c r="X96" s="24" t="n"/>
      <c r="Y96" s="24" t="n"/>
      <c r="Z96" s="24" t="n"/>
      <c r="AA96" s="24" t="n"/>
      <c r="AB96" s="24" t="n"/>
      <c r="AC96" s="24" t="n"/>
      <c r="AD96" s="24" t="n"/>
      <c r="AE96" s="24" t="n"/>
      <c r="AF96" s="10" t="n"/>
      <c r="AG96" s="10" t="n"/>
      <c r="AH96" s="10" t="n"/>
      <c r="AI96" s="25" t="n"/>
      <c r="AJ96" s="25" t="n"/>
      <c r="AK96" s="25" t="n"/>
      <c r="AL96" s="26" t="n"/>
      <c r="AM96" s="24" t="n"/>
    </row>
    <row r="97">
      <c r="A97" t="inlineStr">
        <is>
          <t>g0-80-20</t>
        </is>
      </c>
      <c r="B97" t="n">
        <v>0</v>
      </c>
      <c r="C97" t="n">
        <v>80</v>
      </c>
      <c r="D97" t="n">
        <v>20</v>
      </c>
      <c r="E97" s="10" t="n"/>
      <c r="F97" s="10" t="n"/>
      <c r="G97" s="10" t="n"/>
      <c r="H97" s="10" t="n"/>
      <c r="I97" s="10" t="n"/>
      <c r="J97" s="10" t="n"/>
      <c r="K97" s="10" t="n"/>
      <c r="L97" s="10" t="n"/>
      <c r="M97" s="10" t="n"/>
      <c r="N97" s="10" t="n"/>
      <c r="O97" s="10" t="n"/>
      <c r="P97" s="23" t="n"/>
      <c r="Q97" s="23" t="n"/>
      <c r="R97" s="24" t="n"/>
      <c r="S97" s="24" t="n"/>
      <c r="T97" s="24" t="n"/>
      <c r="U97" s="24" t="n"/>
      <c r="V97" s="24" t="n"/>
      <c r="W97" s="24" t="n"/>
      <c r="X97" s="24" t="n"/>
      <c r="Y97" s="24" t="n"/>
      <c r="Z97" s="24" t="n"/>
      <c r="AA97" s="24" t="n"/>
      <c r="AB97" s="24" t="n"/>
      <c r="AC97" s="24" t="n"/>
      <c r="AD97" s="24" t="n"/>
      <c r="AE97" s="24" t="n"/>
      <c r="AF97" s="10" t="n"/>
      <c r="AG97" s="10" t="n"/>
      <c r="AH97" s="10" t="n"/>
      <c r="AI97" s="25" t="n"/>
      <c r="AJ97" s="25" t="n"/>
      <c r="AK97" s="25" t="n"/>
      <c r="AL97" s="26" t="n"/>
      <c r="AM97" s="24" t="n"/>
    </row>
    <row r="98">
      <c r="A98" t="inlineStr">
        <is>
          <t>g0-90-10</t>
        </is>
      </c>
      <c r="B98" t="n">
        <v>0</v>
      </c>
      <c r="C98" t="n">
        <v>90</v>
      </c>
      <c r="D98" t="n">
        <v>10</v>
      </c>
      <c r="E98" s="10" t="n"/>
      <c r="F98" s="10" t="n"/>
      <c r="G98" s="10" t="n"/>
      <c r="H98" s="10" t="n"/>
      <c r="I98" s="10" t="n"/>
      <c r="J98" s="10" t="n"/>
      <c r="K98" s="10" t="n"/>
      <c r="L98" s="10" t="n"/>
      <c r="M98" s="10" t="n"/>
      <c r="N98" s="10" t="n"/>
      <c r="O98" s="10" t="n"/>
      <c r="P98" s="23" t="n"/>
      <c r="Q98" s="23" t="n"/>
      <c r="R98" s="24" t="n"/>
      <c r="S98" s="24" t="n"/>
      <c r="T98" s="24" t="n"/>
      <c r="U98" s="24" t="n"/>
      <c r="V98" s="24" t="n"/>
      <c r="W98" s="24" t="n"/>
      <c r="X98" s="24" t="n"/>
      <c r="Y98" s="24" t="n"/>
      <c r="Z98" s="24" t="n"/>
      <c r="AA98" s="24" t="n"/>
      <c r="AB98" s="24" t="n"/>
      <c r="AC98" s="24" t="n"/>
      <c r="AD98" s="24" t="n"/>
      <c r="AE98" s="24" t="n"/>
      <c r="AF98" s="10" t="n"/>
      <c r="AG98" s="10" t="n"/>
      <c r="AH98" s="10" t="n"/>
      <c r="AI98" s="25" t="n"/>
      <c r="AJ98" s="25" t="n"/>
      <c r="AK98" s="25" t="n"/>
      <c r="AL98" s="26" t="n"/>
      <c r="AM98" s="24" t="n"/>
    </row>
    <row r="99">
      <c r="A99" t="inlineStr">
        <is>
          <t>g0-100-0</t>
        </is>
      </c>
      <c r="B99" t="n">
        <v>0</v>
      </c>
      <c r="C99" t="n">
        <v>100</v>
      </c>
      <c r="D99" t="n">
        <v>0</v>
      </c>
      <c r="E99" s="10" t="n"/>
      <c r="F99" s="10" t="n"/>
      <c r="G99" s="10" t="n"/>
      <c r="H99" s="10" t="n"/>
      <c r="I99" s="10" t="n"/>
      <c r="J99" s="10" t="n"/>
      <c r="K99" s="10" t="n"/>
      <c r="L99" s="10" t="n"/>
      <c r="M99" s="10" t="n"/>
      <c r="N99" s="10" t="n"/>
      <c r="O99" s="10" t="n"/>
      <c r="P99" s="23" t="n"/>
      <c r="Q99" s="23" t="n"/>
      <c r="R99" s="24" t="n"/>
      <c r="S99" s="24" t="n"/>
      <c r="T99" s="24" t="n"/>
      <c r="U99" s="24" t="n"/>
      <c r="V99" s="24" t="n"/>
      <c r="W99" s="24" t="n"/>
      <c r="X99" s="24" t="n"/>
      <c r="Y99" s="24" t="n"/>
      <c r="Z99" s="24" t="n"/>
      <c r="AA99" s="24" t="n"/>
      <c r="AB99" s="24" t="n"/>
      <c r="AC99" s="24" t="n"/>
      <c r="AD99" s="24" t="n"/>
      <c r="AE99" s="24" t="n"/>
      <c r="AF99" s="10" t="n"/>
      <c r="AG99" s="10" t="n"/>
      <c r="AH99" s="10" t="n"/>
      <c r="AI99" s="25" t="n"/>
      <c r="AJ99" s="25" t="n"/>
      <c r="AK99" s="25" t="n"/>
      <c r="AL99" s="26" t="n"/>
      <c r="AM99" s="24" t="n"/>
    </row>
    <row r="100">
      <c r="A100" t="inlineStr">
        <is>
          <t>g10-0-90</t>
        </is>
      </c>
      <c r="B100" t="n">
        <v>10</v>
      </c>
      <c r="C100" t="n">
        <v>0</v>
      </c>
      <c r="D100" t="n">
        <v>90</v>
      </c>
      <c r="E100" s="10" t="n"/>
      <c r="F100" s="10" t="n"/>
      <c r="G100" s="10" t="n"/>
      <c r="H100" s="10" t="n"/>
      <c r="I100" s="10" t="n"/>
      <c r="J100" s="10" t="n"/>
      <c r="K100" s="10" t="n"/>
      <c r="L100" s="10" t="n"/>
      <c r="M100" s="10" t="n"/>
      <c r="N100" s="10" t="n"/>
      <c r="O100" s="10" t="n"/>
      <c r="P100" s="23" t="n"/>
      <c r="Q100" s="23" t="n"/>
      <c r="R100" s="24" t="n"/>
      <c r="S100" s="24" t="n"/>
      <c r="T100" s="24" t="n"/>
      <c r="U100" s="24" t="n"/>
      <c r="V100" s="24" t="n"/>
      <c r="W100" s="24" t="n"/>
      <c r="X100" s="24" t="n"/>
      <c r="Y100" s="24" t="n"/>
      <c r="Z100" s="24" t="n"/>
      <c r="AA100" s="24" t="n"/>
      <c r="AB100" s="24" t="n"/>
      <c r="AC100" s="24" t="n"/>
      <c r="AD100" s="24" t="n"/>
      <c r="AE100" s="24" t="n"/>
      <c r="AF100" s="10" t="n"/>
      <c r="AG100" s="10" t="n"/>
      <c r="AH100" s="10" t="n"/>
      <c r="AI100" s="25" t="n"/>
      <c r="AJ100" s="25" t="n"/>
      <c r="AK100" s="25" t="n"/>
      <c r="AL100" s="26" t="n"/>
      <c r="AM100" s="24" t="n"/>
    </row>
    <row r="101">
      <c r="A101" t="inlineStr">
        <is>
          <t>g10-10-80</t>
        </is>
      </c>
      <c r="B101" t="n">
        <v>10</v>
      </c>
      <c r="C101" t="n">
        <v>10</v>
      </c>
      <c r="D101" t="n">
        <v>80</v>
      </c>
      <c r="E101" s="10" t="n"/>
      <c r="F101" s="10" t="n"/>
      <c r="G101" s="10" t="n"/>
      <c r="H101" s="10" t="n"/>
      <c r="I101" s="10" t="n"/>
      <c r="J101" s="10" t="n"/>
      <c r="K101" s="10" t="n"/>
      <c r="L101" s="10" t="n"/>
      <c r="M101" s="10" t="n"/>
      <c r="N101" s="10" t="n"/>
      <c r="O101" s="10" t="n"/>
      <c r="P101" s="23" t="n"/>
      <c r="Q101" s="23" t="n"/>
      <c r="R101" s="24" t="n"/>
      <c r="S101" s="24" t="n"/>
      <c r="T101" s="24" t="n"/>
      <c r="U101" s="24" t="n"/>
      <c r="V101" s="24" t="n"/>
      <c r="W101" s="24" t="n"/>
      <c r="X101" s="24" t="n"/>
      <c r="Y101" s="24" t="n"/>
      <c r="Z101" s="24" t="n"/>
      <c r="AA101" s="24" t="n"/>
      <c r="AB101" s="24" t="n"/>
      <c r="AC101" s="24" t="n"/>
      <c r="AD101" s="24" t="n"/>
      <c r="AE101" s="24" t="n"/>
      <c r="AF101" s="10" t="n"/>
      <c r="AG101" s="10" t="n"/>
      <c r="AH101" s="10" t="n"/>
      <c r="AI101" s="25" t="n"/>
      <c r="AJ101" s="25" t="n"/>
      <c r="AK101" s="25" t="n"/>
      <c r="AL101" s="26" t="n"/>
      <c r="AM101" s="24" t="n"/>
    </row>
    <row r="102">
      <c r="A102" t="inlineStr">
        <is>
          <t>g10-20-70</t>
        </is>
      </c>
      <c r="B102" t="n">
        <v>10</v>
      </c>
      <c r="C102" t="n">
        <v>20</v>
      </c>
      <c r="D102" t="n">
        <v>70</v>
      </c>
      <c r="E102" s="10" t="n"/>
      <c r="F102" s="10" t="n"/>
      <c r="G102" s="10" t="n"/>
      <c r="H102" s="10" t="n"/>
      <c r="I102" s="10" t="n"/>
      <c r="J102" s="10" t="n"/>
      <c r="K102" s="10" t="n"/>
      <c r="L102" s="10" t="n"/>
      <c r="M102" s="10" t="n"/>
      <c r="N102" s="10" t="n"/>
      <c r="O102" s="10" t="n"/>
      <c r="P102" s="23" t="n"/>
      <c r="Q102" s="23" t="n"/>
      <c r="R102" s="24" t="n"/>
      <c r="S102" s="24" t="n"/>
      <c r="T102" s="24" t="n"/>
      <c r="U102" s="24" t="n"/>
      <c r="V102" s="24" t="n"/>
      <c r="W102" s="24" t="n"/>
      <c r="X102" s="24" t="n"/>
      <c r="Y102" s="24" t="n"/>
      <c r="Z102" s="24" t="n"/>
      <c r="AA102" s="24" t="n"/>
      <c r="AB102" s="24" t="n"/>
      <c r="AC102" s="24" t="n"/>
      <c r="AD102" s="24" t="n"/>
      <c r="AE102" s="24" t="n"/>
      <c r="AF102" s="10" t="n"/>
      <c r="AG102" s="10" t="n"/>
      <c r="AH102" s="10" t="n"/>
      <c r="AI102" s="25" t="n"/>
      <c r="AJ102" s="25" t="n"/>
      <c r="AK102" s="25" t="n"/>
      <c r="AL102" s="26" t="n"/>
      <c r="AM102" s="24" t="n"/>
    </row>
    <row r="103">
      <c r="A103" t="inlineStr">
        <is>
          <t>g10-30-60</t>
        </is>
      </c>
      <c r="B103" t="n">
        <v>10</v>
      </c>
      <c r="C103" t="n">
        <v>30</v>
      </c>
      <c r="D103" t="n">
        <v>60</v>
      </c>
      <c r="E103" s="10" t="n"/>
      <c r="F103" s="10" t="n"/>
      <c r="G103" s="10" t="n"/>
      <c r="H103" s="10" t="n"/>
      <c r="I103" s="10" t="n"/>
      <c r="J103" s="10" t="n"/>
      <c r="K103" s="10" t="n"/>
      <c r="L103" s="10" t="n"/>
      <c r="M103" s="10" t="n"/>
      <c r="N103" s="10" t="n"/>
      <c r="O103" s="10" t="n"/>
      <c r="P103" s="23" t="n"/>
      <c r="Q103" s="23" t="n"/>
      <c r="R103" s="24" t="n"/>
      <c r="S103" s="24" t="n"/>
      <c r="T103" s="24" t="n"/>
      <c r="U103" s="24" t="n"/>
      <c r="V103" s="24" t="n"/>
      <c r="W103" s="24" t="n"/>
      <c r="X103" s="24" t="n"/>
      <c r="Y103" s="24" t="n"/>
      <c r="Z103" s="24" t="n"/>
      <c r="AA103" s="24" t="n"/>
      <c r="AB103" s="24" t="n"/>
      <c r="AC103" s="24" t="n"/>
      <c r="AD103" s="24" t="n"/>
      <c r="AE103" s="24" t="n"/>
      <c r="AF103" s="10" t="n"/>
      <c r="AG103" s="10" t="n"/>
      <c r="AH103" s="10" t="n"/>
      <c r="AI103" s="25" t="n"/>
      <c r="AJ103" s="25" t="n"/>
      <c r="AK103" s="25" t="n"/>
      <c r="AL103" s="26" t="n"/>
      <c r="AM103" s="24" t="n"/>
    </row>
    <row r="104">
      <c r="A104" t="inlineStr">
        <is>
          <t>g10-40-50</t>
        </is>
      </c>
      <c r="B104" t="n">
        <v>10</v>
      </c>
      <c r="C104" t="n">
        <v>40</v>
      </c>
      <c r="D104" t="n">
        <v>50</v>
      </c>
      <c r="E104" s="10" t="n"/>
      <c r="F104" s="10" t="n"/>
      <c r="G104" s="10" t="n"/>
      <c r="H104" s="10" t="n"/>
      <c r="I104" s="10" t="n"/>
      <c r="J104" s="10" t="n"/>
      <c r="K104" s="10" t="n"/>
      <c r="L104" s="10" t="n"/>
      <c r="M104" s="10" t="n"/>
      <c r="N104" s="10" t="n"/>
      <c r="O104" s="10" t="n"/>
      <c r="P104" s="23" t="n"/>
      <c r="Q104" s="23" t="n"/>
      <c r="R104" s="24" t="n"/>
      <c r="S104" s="24" t="n"/>
      <c r="T104" s="24" t="n"/>
      <c r="U104" s="24" t="n"/>
      <c r="V104" s="24" t="n"/>
      <c r="W104" s="24" t="n"/>
      <c r="X104" s="24" t="n"/>
      <c r="Y104" s="24" t="n"/>
      <c r="Z104" s="24" t="n"/>
      <c r="AA104" s="24" t="n"/>
      <c r="AB104" s="24" t="n"/>
      <c r="AC104" s="24" t="n"/>
      <c r="AD104" s="24" t="n"/>
      <c r="AE104" s="24" t="n"/>
      <c r="AF104" s="10" t="n"/>
      <c r="AG104" s="10" t="n"/>
      <c r="AH104" s="10" t="n"/>
      <c r="AI104" s="25" t="n"/>
      <c r="AJ104" s="25" t="n"/>
      <c r="AK104" s="25" t="n"/>
      <c r="AL104" s="26" t="n"/>
      <c r="AM104" s="24" t="n"/>
    </row>
    <row r="105">
      <c r="A105" t="inlineStr">
        <is>
          <t>g10-50-40</t>
        </is>
      </c>
      <c r="B105" t="n">
        <v>10</v>
      </c>
      <c r="C105" t="n">
        <v>50</v>
      </c>
      <c r="D105" t="n">
        <v>40</v>
      </c>
      <c r="E105" s="10" t="n"/>
      <c r="F105" s="10" t="n"/>
      <c r="G105" s="10" t="n"/>
      <c r="H105" s="10" t="n"/>
      <c r="I105" s="10" t="n"/>
      <c r="J105" s="10" t="n"/>
      <c r="K105" s="10" t="n"/>
      <c r="L105" s="10" t="n"/>
      <c r="M105" s="10" t="n"/>
      <c r="N105" s="10" t="n"/>
      <c r="O105" s="10" t="n"/>
      <c r="P105" s="23" t="n"/>
      <c r="Q105" s="23" t="n"/>
      <c r="R105" s="24" t="n"/>
      <c r="S105" s="24" t="n"/>
      <c r="T105" s="24" t="n"/>
      <c r="U105" s="24" t="n"/>
      <c r="V105" s="24" t="n"/>
      <c r="W105" s="24" t="n"/>
      <c r="X105" s="24" t="n"/>
      <c r="Y105" s="24" t="n"/>
      <c r="Z105" s="24" t="n"/>
      <c r="AA105" s="24" t="n"/>
      <c r="AB105" s="24" t="n"/>
      <c r="AC105" s="24" t="n"/>
      <c r="AD105" s="24" t="n"/>
      <c r="AE105" s="24" t="n"/>
      <c r="AF105" s="10" t="n"/>
      <c r="AG105" s="10" t="n"/>
      <c r="AH105" s="10" t="n"/>
      <c r="AI105" s="25" t="n"/>
      <c r="AJ105" s="25" t="n"/>
      <c r="AK105" s="25" t="n"/>
      <c r="AL105" s="26" t="n"/>
      <c r="AM105" s="24" t="n"/>
    </row>
    <row r="106">
      <c r="A106" t="inlineStr">
        <is>
          <t>g10-60-30</t>
        </is>
      </c>
      <c r="B106" t="n">
        <v>10</v>
      </c>
      <c r="C106" t="n">
        <v>60</v>
      </c>
      <c r="D106" t="n">
        <v>30</v>
      </c>
      <c r="E106" s="10" t="n"/>
      <c r="F106" s="10" t="n"/>
      <c r="G106" s="10" t="n"/>
      <c r="H106" s="10" t="n"/>
      <c r="I106" s="10" t="n"/>
      <c r="J106" s="10" t="n"/>
      <c r="K106" s="10" t="n"/>
      <c r="L106" s="10" t="n"/>
      <c r="M106" s="10" t="n"/>
      <c r="N106" s="10" t="n"/>
      <c r="O106" s="10" t="n"/>
      <c r="P106" s="23" t="n"/>
      <c r="Q106" s="23" t="n"/>
      <c r="R106" s="24" t="n"/>
      <c r="S106" s="24" t="n"/>
      <c r="T106" s="24" t="n"/>
      <c r="U106" s="24" t="n"/>
      <c r="V106" s="24" t="n"/>
      <c r="W106" s="24" t="n"/>
      <c r="X106" s="24" t="n"/>
      <c r="Y106" s="24" t="n"/>
      <c r="Z106" s="24" t="n"/>
      <c r="AA106" s="24" t="n"/>
      <c r="AB106" s="24" t="n"/>
      <c r="AC106" s="24" t="n"/>
      <c r="AD106" s="24" t="n"/>
      <c r="AE106" s="24" t="n"/>
      <c r="AF106" s="10" t="n"/>
      <c r="AG106" s="10" t="n"/>
      <c r="AH106" s="10" t="n"/>
      <c r="AI106" s="25" t="n"/>
      <c r="AJ106" s="25" t="n"/>
      <c r="AK106" s="25" t="n"/>
      <c r="AL106" s="26" t="n"/>
      <c r="AM106" s="24" t="n"/>
    </row>
    <row r="107">
      <c r="A107" t="inlineStr">
        <is>
          <t>g10-70-20</t>
        </is>
      </c>
      <c r="B107" t="n">
        <v>10</v>
      </c>
      <c r="C107" t="n">
        <v>70</v>
      </c>
      <c r="D107" t="n">
        <v>20</v>
      </c>
      <c r="E107" s="10" t="n"/>
      <c r="F107" s="10" t="n"/>
      <c r="G107" s="10" t="n"/>
      <c r="H107" s="10" t="n"/>
      <c r="I107" s="10" t="n"/>
      <c r="J107" s="10" t="n"/>
      <c r="K107" s="10" t="n"/>
      <c r="L107" s="10" t="n"/>
      <c r="M107" s="10" t="n"/>
      <c r="N107" s="10" t="n"/>
      <c r="O107" s="10" t="n"/>
      <c r="P107" s="23" t="n"/>
      <c r="Q107" s="23" t="n"/>
      <c r="R107" s="24" t="n"/>
      <c r="S107" s="24" t="n"/>
      <c r="T107" s="24" t="n"/>
      <c r="U107" s="24" t="n"/>
      <c r="V107" s="24" t="n"/>
      <c r="W107" s="24" t="n"/>
      <c r="X107" s="24" t="n"/>
      <c r="Y107" s="24" t="n"/>
      <c r="Z107" s="24" t="n"/>
      <c r="AA107" s="24" t="n"/>
      <c r="AB107" s="24" t="n"/>
      <c r="AC107" s="24" t="n"/>
      <c r="AD107" s="24" t="n"/>
      <c r="AE107" s="24" t="n"/>
      <c r="AF107" s="10" t="n"/>
      <c r="AG107" s="10" t="n"/>
      <c r="AH107" s="10" t="n"/>
      <c r="AI107" s="25" t="n"/>
      <c r="AJ107" s="25" t="n"/>
      <c r="AK107" s="25" t="n"/>
      <c r="AL107" s="26" t="n"/>
      <c r="AM107" s="24" t="n"/>
    </row>
    <row r="108">
      <c r="A108" t="inlineStr">
        <is>
          <t>g10-80-10</t>
        </is>
      </c>
      <c r="B108" t="n">
        <v>10</v>
      </c>
      <c r="C108" t="n">
        <v>80</v>
      </c>
      <c r="D108" t="n">
        <v>10</v>
      </c>
      <c r="E108" s="10" t="n"/>
      <c r="F108" s="10" t="n"/>
      <c r="G108" s="10" t="n"/>
      <c r="H108" s="10" t="n"/>
      <c r="I108" s="10" t="n"/>
      <c r="J108" s="10" t="n"/>
      <c r="K108" s="10" t="n"/>
      <c r="L108" s="10" t="n"/>
      <c r="M108" s="10" t="n"/>
      <c r="N108" s="10" t="n"/>
      <c r="O108" s="10" t="n"/>
      <c r="P108" s="23" t="n"/>
      <c r="Q108" s="23" t="n"/>
      <c r="R108" s="24" t="n"/>
      <c r="S108" s="24" t="n"/>
      <c r="T108" s="24" t="n"/>
      <c r="U108" s="24" t="n"/>
      <c r="V108" s="24" t="n"/>
      <c r="W108" s="24" t="n"/>
      <c r="X108" s="24" t="n"/>
      <c r="Y108" s="24" t="n"/>
      <c r="Z108" s="24" t="n"/>
      <c r="AA108" s="24" t="n"/>
      <c r="AB108" s="24" t="n"/>
      <c r="AC108" s="24" t="n"/>
      <c r="AD108" s="24" t="n"/>
      <c r="AE108" s="24" t="n"/>
      <c r="AF108" s="10" t="n"/>
      <c r="AG108" s="10" t="n"/>
      <c r="AH108" s="10" t="n"/>
      <c r="AI108" s="25" t="n"/>
      <c r="AJ108" s="25" t="n"/>
      <c r="AK108" s="25" t="n"/>
      <c r="AL108" s="26" t="n"/>
      <c r="AM108" s="24" t="n"/>
    </row>
    <row r="109">
      <c r="A109" t="inlineStr">
        <is>
          <t>g10-90-0</t>
        </is>
      </c>
      <c r="B109" t="n">
        <v>10</v>
      </c>
      <c r="C109" t="n">
        <v>90</v>
      </c>
      <c r="D109" t="n">
        <v>0</v>
      </c>
      <c r="E109" s="10" t="n"/>
      <c r="F109" s="10" t="n"/>
      <c r="G109" s="10" t="n"/>
      <c r="H109" s="10" t="n"/>
      <c r="I109" s="10" t="n"/>
      <c r="J109" s="10" t="n"/>
      <c r="K109" s="10" t="n"/>
      <c r="L109" s="10" t="n"/>
      <c r="M109" s="10" t="n"/>
      <c r="N109" s="10" t="n"/>
      <c r="O109" s="10" t="n"/>
      <c r="P109" s="23" t="n"/>
      <c r="Q109" s="23" t="n"/>
      <c r="R109" s="24" t="n"/>
      <c r="S109" s="24" t="n"/>
      <c r="T109" s="24" t="n"/>
      <c r="U109" s="24" t="n"/>
      <c r="V109" s="24" t="n"/>
      <c r="W109" s="24" t="n"/>
      <c r="X109" s="24" t="n"/>
      <c r="Y109" s="24" t="n"/>
      <c r="Z109" s="24" t="n"/>
      <c r="AA109" s="24" t="n"/>
      <c r="AB109" s="24" t="n"/>
      <c r="AC109" s="24" t="n"/>
      <c r="AD109" s="24" t="n"/>
      <c r="AE109" s="24" t="n"/>
      <c r="AF109" s="10" t="n"/>
      <c r="AG109" s="10" t="n"/>
      <c r="AH109" s="10" t="n"/>
      <c r="AI109" s="25" t="n"/>
      <c r="AJ109" s="25" t="n"/>
      <c r="AK109" s="25" t="n"/>
      <c r="AL109" s="26" t="n"/>
      <c r="AM109" s="24" t="n"/>
    </row>
    <row r="110">
      <c r="A110" t="inlineStr">
        <is>
          <t>g20-0-80</t>
        </is>
      </c>
      <c r="B110" t="n">
        <v>20</v>
      </c>
      <c r="C110" t="n">
        <v>0</v>
      </c>
      <c r="D110" t="n">
        <v>80</v>
      </c>
      <c r="E110" s="10" t="n"/>
      <c r="F110" s="10" t="n"/>
      <c r="G110" s="10" t="n"/>
      <c r="H110" s="10" t="n"/>
      <c r="I110" s="10" t="n"/>
      <c r="J110" s="10" t="n"/>
      <c r="K110" s="10" t="n"/>
      <c r="L110" s="10" t="n"/>
      <c r="M110" s="10" t="n"/>
      <c r="N110" s="10" t="n"/>
      <c r="O110" s="10" t="n"/>
      <c r="P110" s="23" t="n"/>
      <c r="Q110" s="23" t="n"/>
      <c r="R110" s="24" t="n"/>
      <c r="S110" s="24" t="n"/>
      <c r="T110" s="24" t="n"/>
      <c r="U110" s="24" t="n"/>
      <c r="V110" s="24" t="n"/>
      <c r="W110" s="24" t="n"/>
      <c r="X110" s="24" t="n"/>
      <c r="Y110" s="24" t="n"/>
      <c r="Z110" s="24" t="n"/>
      <c r="AA110" s="24" t="n"/>
      <c r="AB110" s="24" t="n"/>
      <c r="AC110" s="24" t="n"/>
      <c r="AD110" s="24" t="n"/>
      <c r="AE110" s="24" t="n"/>
      <c r="AF110" s="10" t="n"/>
      <c r="AG110" s="10" t="n"/>
      <c r="AH110" s="10" t="n"/>
      <c r="AI110" s="25" t="n"/>
      <c r="AJ110" s="25" t="n"/>
      <c r="AK110" s="25" t="n"/>
      <c r="AL110" s="26" t="n"/>
      <c r="AM110" s="24" t="n"/>
    </row>
    <row r="111">
      <c r="A111" t="inlineStr">
        <is>
          <t>g20-10-70</t>
        </is>
      </c>
      <c r="B111" t="n">
        <v>20</v>
      </c>
      <c r="C111" t="n">
        <v>10</v>
      </c>
      <c r="D111" t="n">
        <v>70</v>
      </c>
      <c r="E111" s="10" t="n"/>
      <c r="F111" s="10" t="n"/>
      <c r="G111" s="10" t="n"/>
      <c r="H111" s="10" t="n"/>
      <c r="I111" s="10" t="n"/>
      <c r="J111" s="10" t="n"/>
      <c r="K111" s="10" t="n"/>
      <c r="L111" s="10" t="n"/>
      <c r="M111" s="10" t="n"/>
      <c r="N111" s="10" t="n"/>
      <c r="O111" s="10" t="n"/>
      <c r="P111" s="23" t="n"/>
      <c r="Q111" s="23" t="n"/>
      <c r="R111" s="24" t="n"/>
      <c r="S111" s="24" t="n"/>
      <c r="T111" s="24" t="n"/>
      <c r="U111" s="24" t="n"/>
      <c r="V111" s="24" t="n"/>
      <c r="W111" s="24" t="n"/>
      <c r="X111" s="24" t="n"/>
      <c r="Y111" s="24" t="n"/>
      <c r="Z111" s="24" t="n"/>
      <c r="AA111" s="24" t="n"/>
      <c r="AB111" s="24" t="n"/>
      <c r="AC111" s="24" t="n"/>
      <c r="AD111" s="24" t="n"/>
      <c r="AE111" s="24" t="n"/>
      <c r="AF111" s="10" t="n"/>
      <c r="AG111" s="10" t="n"/>
      <c r="AH111" s="10" t="n"/>
      <c r="AI111" s="25" t="n"/>
      <c r="AJ111" s="25" t="n"/>
      <c r="AK111" s="25" t="n"/>
      <c r="AL111" s="26" t="n"/>
      <c r="AM111" s="24" t="n"/>
    </row>
    <row r="112">
      <c r="A112" t="inlineStr">
        <is>
          <t>g20-20-60</t>
        </is>
      </c>
      <c r="B112" t="n">
        <v>20</v>
      </c>
      <c r="C112" t="n">
        <v>20</v>
      </c>
      <c r="D112" t="n">
        <v>60</v>
      </c>
      <c r="E112" s="10" t="n"/>
      <c r="F112" s="10" t="n"/>
      <c r="G112" s="10" t="n"/>
      <c r="H112" s="10" t="n"/>
      <c r="I112" s="10" t="n"/>
      <c r="J112" s="10" t="n"/>
      <c r="K112" s="10" t="n"/>
      <c r="L112" s="10" t="n"/>
      <c r="M112" s="10" t="n"/>
      <c r="N112" s="10" t="n"/>
      <c r="O112" s="10" t="n"/>
      <c r="P112" s="23" t="n"/>
      <c r="Q112" s="23" t="n"/>
      <c r="R112" s="24" t="n"/>
      <c r="S112" s="24" t="n"/>
      <c r="T112" s="24" t="n"/>
      <c r="U112" s="24" t="n"/>
      <c r="V112" s="24" t="n"/>
      <c r="W112" s="24" t="n"/>
      <c r="X112" s="24" t="n"/>
      <c r="Y112" s="24" t="n"/>
      <c r="Z112" s="24" t="n"/>
      <c r="AA112" s="24" t="n"/>
      <c r="AB112" s="24" t="n"/>
      <c r="AC112" s="24" t="n"/>
      <c r="AD112" s="24" t="n"/>
      <c r="AE112" s="24" t="n"/>
      <c r="AF112" s="10" t="n"/>
      <c r="AG112" s="10" t="n"/>
      <c r="AH112" s="10" t="n"/>
      <c r="AI112" s="25" t="n"/>
      <c r="AJ112" s="25" t="n"/>
      <c r="AK112" s="25" t="n"/>
      <c r="AL112" s="26" t="n"/>
      <c r="AM112" s="24" t="n"/>
    </row>
    <row r="113">
      <c r="A113" t="inlineStr">
        <is>
          <t>g20-30-50</t>
        </is>
      </c>
      <c r="B113" t="n">
        <v>20</v>
      </c>
      <c r="C113" t="n">
        <v>30</v>
      </c>
      <c r="D113" t="n">
        <v>50</v>
      </c>
      <c r="E113" s="10" t="n"/>
      <c r="F113" s="10" t="n"/>
      <c r="G113" s="10" t="n"/>
      <c r="H113" s="10" t="n"/>
      <c r="I113" s="10" t="n"/>
      <c r="J113" s="10" t="n"/>
      <c r="K113" s="10" t="n"/>
      <c r="L113" s="10" t="n"/>
      <c r="M113" s="10" t="n"/>
      <c r="N113" s="10" t="n"/>
      <c r="O113" s="10" t="n"/>
      <c r="P113" s="23" t="n"/>
      <c r="Q113" s="23" t="n"/>
      <c r="R113" s="24" t="n"/>
      <c r="S113" s="24" t="n"/>
      <c r="T113" s="24" t="n"/>
      <c r="U113" s="24" t="n"/>
      <c r="V113" s="24" t="n"/>
      <c r="W113" s="24" t="n"/>
      <c r="X113" s="24" t="n"/>
      <c r="Y113" s="24" t="n"/>
      <c r="Z113" s="24" t="n"/>
      <c r="AA113" s="24" t="n"/>
      <c r="AB113" s="24" t="n"/>
      <c r="AC113" s="24" t="n"/>
      <c r="AD113" s="24" t="n"/>
      <c r="AE113" s="24" t="n"/>
      <c r="AF113" s="10" t="n"/>
      <c r="AG113" s="10" t="n"/>
      <c r="AH113" s="10" t="n"/>
      <c r="AI113" s="25" t="n"/>
      <c r="AJ113" s="25" t="n"/>
      <c r="AK113" s="25" t="n"/>
      <c r="AL113" s="26" t="n"/>
      <c r="AM113" s="24" t="n"/>
    </row>
    <row r="114">
      <c r="A114" t="inlineStr">
        <is>
          <t>g20-40-40</t>
        </is>
      </c>
      <c r="B114" t="n">
        <v>20</v>
      </c>
      <c r="C114" t="n">
        <v>40</v>
      </c>
      <c r="D114" t="n">
        <v>40</v>
      </c>
      <c r="E114" s="10" t="n"/>
      <c r="F114" s="10" t="n"/>
      <c r="G114" s="10" t="n"/>
      <c r="H114" s="10" t="n"/>
      <c r="I114" s="10" t="n"/>
      <c r="J114" s="10" t="n"/>
      <c r="K114" s="10" t="n"/>
      <c r="L114" s="10" t="n"/>
      <c r="M114" s="10" t="n"/>
      <c r="N114" s="10" t="n"/>
      <c r="O114" s="10" t="n"/>
      <c r="P114" s="23" t="n"/>
      <c r="Q114" s="23" t="n"/>
      <c r="R114" s="24" t="n"/>
      <c r="S114" s="24" t="n"/>
      <c r="T114" s="24" t="n"/>
      <c r="U114" s="24" t="n"/>
      <c r="V114" s="24" t="n"/>
      <c r="W114" s="24" t="n"/>
      <c r="X114" s="24" t="n"/>
      <c r="Y114" s="24" t="n"/>
      <c r="Z114" s="24" t="n"/>
      <c r="AA114" s="24" t="n"/>
      <c r="AB114" s="24" t="n"/>
      <c r="AC114" s="24" t="n"/>
      <c r="AD114" s="24" t="n"/>
      <c r="AE114" s="24" t="n"/>
      <c r="AF114" s="10" t="n"/>
      <c r="AG114" s="10" t="n"/>
      <c r="AH114" s="10" t="n"/>
      <c r="AI114" s="25" t="n"/>
      <c r="AJ114" s="25" t="n"/>
      <c r="AK114" s="25" t="n"/>
      <c r="AL114" s="26" t="n"/>
      <c r="AM114" s="24" t="n"/>
    </row>
    <row r="115">
      <c r="A115" t="inlineStr">
        <is>
          <t>g20-50-30</t>
        </is>
      </c>
      <c r="B115" t="n">
        <v>20</v>
      </c>
      <c r="C115" t="n">
        <v>50</v>
      </c>
      <c r="D115" t="n">
        <v>30</v>
      </c>
      <c r="E115" s="10" t="n"/>
      <c r="F115" s="10" t="n"/>
      <c r="G115" s="10" t="n"/>
      <c r="H115" s="10" t="n"/>
      <c r="I115" s="10" t="n"/>
      <c r="J115" s="10" t="n"/>
      <c r="K115" s="10" t="n"/>
      <c r="L115" s="10" t="n"/>
      <c r="M115" s="10" t="n"/>
      <c r="N115" s="10" t="n"/>
      <c r="O115" s="10" t="n"/>
      <c r="P115" s="23" t="n"/>
      <c r="Q115" s="23" t="n"/>
      <c r="R115" s="24" t="n"/>
      <c r="S115" s="24" t="n"/>
      <c r="T115" s="24" t="n"/>
      <c r="U115" s="24" t="n"/>
      <c r="V115" s="24" t="n"/>
      <c r="W115" s="24" t="n"/>
      <c r="X115" s="24" t="n"/>
      <c r="Y115" s="24" t="n"/>
      <c r="Z115" s="24" t="n"/>
      <c r="AA115" s="24" t="n"/>
      <c r="AB115" s="24" t="n"/>
      <c r="AC115" s="24" t="n"/>
      <c r="AD115" s="24" t="n"/>
      <c r="AE115" s="24" t="n"/>
      <c r="AF115" s="10" t="n"/>
      <c r="AG115" s="10" t="n"/>
      <c r="AH115" s="10" t="n"/>
      <c r="AI115" s="25" t="n"/>
      <c r="AJ115" s="25" t="n"/>
      <c r="AK115" s="25" t="n"/>
      <c r="AL115" s="26" t="n"/>
      <c r="AM115" s="24" t="n"/>
    </row>
    <row r="116">
      <c r="A116" t="inlineStr">
        <is>
          <t>g20-60-20</t>
        </is>
      </c>
      <c r="B116" t="n">
        <v>20</v>
      </c>
      <c r="C116" t="n">
        <v>60</v>
      </c>
      <c r="D116" t="n">
        <v>20</v>
      </c>
      <c r="E116" s="10" t="n"/>
      <c r="F116" s="10" t="n"/>
      <c r="G116" s="10" t="n"/>
      <c r="H116" s="10" t="n"/>
      <c r="I116" s="10" t="n"/>
      <c r="J116" s="10" t="n"/>
      <c r="K116" s="10" t="n"/>
      <c r="L116" s="10" t="n"/>
      <c r="M116" s="10" t="n"/>
      <c r="N116" s="10" t="n"/>
      <c r="O116" s="10" t="n"/>
      <c r="P116" s="23" t="n"/>
      <c r="Q116" s="23" t="n"/>
      <c r="R116" s="24" t="n"/>
      <c r="S116" s="24" t="n"/>
      <c r="T116" s="24" t="n"/>
      <c r="U116" s="24" t="n"/>
      <c r="V116" s="24" t="n"/>
      <c r="W116" s="24" t="n"/>
      <c r="X116" s="24" t="n"/>
      <c r="Y116" s="24" t="n"/>
      <c r="Z116" s="24" t="n"/>
      <c r="AA116" s="24" t="n"/>
      <c r="AB116" s="24" t="n"/>
      <c r="AC116" s="24" t="n"/>
      <c r="AD116" s="24" t="n"/>
      <c r="AE116" s="24" t="n"/>
      <c r="AF116" s="10" t="n"/>
      <c r="AG116" s="10" t="n"/>
      <c r="AH116" s="10" t="n"/>
      <c r="AI116" s="25" t="n"/>
      <c r="AJ116" s="25" t="n"/>
      <c r="AK116" s="25" t="n"/>
      <c r="AL116" s="26" t="n"/>
      <c r="AM116" s="24" t="n"/>
    </row>
    <row r="117">
      <c r="A117" t="inlineStr">
        <is>
          <t>g20-70-10</t>
        </is>
      </c>
      <c r="B117" t="n">
        <v>20</v>
      </c>
      <c r="C117" t="n">
        <v>70</v>
      </c>
      <c r="D117" t="n">
        <v>10</v>
      </c>
      <c r="E117" s="10" t="n"/>
      <c r="F117" s="10" t="n"/>
      <c r="G117" s="10" t="n"/>
      <c r="H117" s="10" t="n"/>
      <c r="I117" s="10" t="n"/>
      <c r="J117" s="10" t="n"/>
      <c r="K117" s="10" t="n"/>
      <c r="L117" s="10" t="n"/>
      <c r="M117" s="10" t="n"/>
      <c r="N117" s="10" t="n"/>
      <c r="O117" s="10" t="n"/>
      <c r="P117" s="23" t="n"/>
      <c r="Q117" s="23" t="n"/>
      <c r="R117" s="24" t="n"/>
      <c r="S117" s="24" t="n"/>
      <c r="T117" s="24" t="n"/>
      <c r="U117" s="24" t="n"/>
      <c r="V117" s="24" t="n"/>
      <c r="W117" s="24" t="n"/>
      <c r="X117" s="24" t="n"/>
      <c r="Y117" s="24" t="n"/>
      <c r="Z117" s="24" t="n"/>
      <c r="AA117" s="24" t="n"/>
      <c r="AB117" s="24" t="n"/>
      <c r="AC117" s="24" t="n"/>
      <c r="AD117" s="24" t="n"/>
      <c r="AE117" s="24" t="n"/>
      <c r="AF117" s="10" t="n"/>
      <c r="AG117" s="10" t="n"/>
      <c r="AH117" s="10" t="n"/>
      <c r="AI117" s="25" t="n"/>
      <c r="AJ117" s="25" t="n"/>
      <c r="AK117" s="25" t="n"/>
      <c r="AL117" s="26" t="n"/>
      <c r="AM117" s="24" t="n"/>
    </row>
    <row r="118">
      <c r="A118" t="inlineStr">
        <is>
          <t>g20-80-0</t>
        </is>
      </c>
      <c r="B118" t="n">
        <v>20</v>
      </c>
      <c r="C118" t="n">
        <v>80</v>
      </c>
      <c r="D118" t="n">
        <v>0</v>
      </c>
      <c r="E118" s="10" t="n"/>
      <c r="F118" s="10" t="n"/>
      <c r="G118" s="10" t="n"/>
      <c r="H118" s="10" t="n"/>
      <c r="I118" s="10" t="n"/>
      <c r="J118" s="10" t="n"/>
      <c r="K118" s="10" t="n"/>
      <c r="L118" s="10" t="n"/>
      <c r="M118" s="10" t="n"/>
      <c r="N118" s="10" t="n"/>
      <c r="O118" s="10" t="n"/>
      <c r="P118" s="23" t="n"/>
      <c r="Q118" s="23" t="n"/>
      <c r="R118" s="24" t="n"/>
      <c r="S118" s="24" t="n"/>
      <c r="T118" s="24" t="n"/>
      <c r="U118" s="24" t="n"/>
      <c r="V118" s="24" t="n"/>
      <c r="W118" s="24" t="n"/>
      <c r="X118" s="24" t="n"/>
      <c r="Y118" s="24" t="n"/>
      <c r="Z118" s="24" t="n"/>
      <c r="AA118" s="24" t="n"/>
      <c r="AB118" s="24" t="n"/>
      <c r="AC118" s="24" t="n"/>
      <c r="AD118" s="24" t="n"/>
      <c r="AE118" s="24" t="n"/>
      <c r="AF118" s="10" t="n"/>
      <c r="AG118" s="10" t="n"/>
      <c r="AH118" s="10" t="n"/>
      <c r="AI118" s="25" t="n"/>
      <c r="AJ118" s="25" t="n"/>
      <c r="AK118" s="25" t="n"/>
      <c r="AL118" s="26" t="n"/>
      <c r="AM118" s="24" t="n"/>
    </row>
    <row r="119">
      <c r="A119" t="inlineStr">
        <is>
          <t>g30-0-70</t>
        </is>
      </c>
      <c r="B119" t="n">
        <v>30</v>
      </c>
      <c r="C119" t="n">
        <v>0</v>
      </c>
      <c r="D119" t="n">
        <v>70</v>
      </c>
      <c r="E119" s="10" t="n"/>
      <c r="F119" s="10" t="n"/>
      <c r="G119" s="10" t="n"/>
      <c r="H119" s="10" t="n"/>
      <c r="I119" s="10" t="n"/>
      <c r="J119" s="10" t="n"/>
      <c r="K119" s="10" t="n"/>
      <c r="L119" s="10" t="n"/>
      <c r="M119" s="10" t="n"/>
      <c r="N119" s="10" t="n"/>
      <c r="O119" s="10" t="n"/>
      <c r="P119" s="23" t="n"/>
      <c r="Q119" s="23" t="n"/>
      <c r="R119" s="24" t="n"/>
      <c r="S119" s="24" t="n"/>
      <c r="T119" s="24" t="n"/>
      <c r="U119" s="24" t="n"/>
      <c r="V119" s="24" t="n"/>
      <c r="W119" s="24" t="n"/>
      <c r="X119" s="24" t="n"/>
      <c r="Y119" s="24" t="n"/>
      <c r="Z119" s="24" t="n"/>
      <c r="AA119" s="24" t="n"/>
      <c r="AB119" s="24" t="n"/>
      <c r="AC119" s="24" t="n"/>
      <c r="AD119" s="24" t="n"/>
      <c r="AE119" s="24" t="n"/>
      <c r="AF119" s="10" t="n"/>
      <c r="AG119" s="10" t="n"/>
      <c r="AH119" s="10" t="n"/>
      <c r="AI119" s="25" t="n"/>
      <c r="AJ119" s="25" t="n"/>
      <c r="AK119" s="25" t="n"/>
      <c r="AL119" s="26" t="n"/>
      <c r="AM119" s="24" t="n"/>
    </row>
    <row r="120">
      <c r="A120" t="inlineStr">
        <is>
          <t>g30-10-60</t>
        </is>
      </c>
      <c r="B120" t="n">
        <v>30</v>
      </c>
      <c r="C120" t="n">
        <v>10</v>
      </c>
      <c r="D120" t="n">
        <v>60</v>
      </c>
      <c r="E120" s="10" t="n"/>
      <c r="F120" s="10" t="n"/>
      <c r="G120" s="10" t="n"/>
      <c r="H120" s="10" t="n"/>
      <c r="I120" s="10" t="n"/>
      <c r="J120" s="10" t="n"/>
      <c r="K120" s="10" t="n"/>
      <c r="L120" s="10" t="n"/>
      <c r="M120" s="10" t="n"/>
      <c r="N120" s="10" t="n"/>
      <c r="O120" s="10" t="n"/>
      <c r="P120" s="23" t="n"/>
      <c r="Q120" s="23" t="n"/>
      <c r="R120" s="24" t="n"/>
      <c r="S120" s="24" t="n"/>
      <c r="T120" s="24" t="n"/>
      <c r="U120" s="24" t="n"/>
      <c r="V120" s="24" t="n"/>
      <c r="W120" s="24" t="n"/>
      <c r="X120" s="24" t="n"/>
      <c r="Y120" s="24" t="n"/>
      <c r="Z120" s="24" t="n"/>
      <c r="AA120" s="24" t="n"/>
      <c r="AB120" s="24" t="n"/>
      <c r="AC120" s="24" t="n"/>
      <c r="AD120" s="24" t="n"/>
      <c r="AE120" s="24" t="n"/>
      <c r="AF120" s="10" t="n"/>
      <c r="AG120" s="10" t="n"/>
      <c r="AH120" s="10" t="n"/>
      <c r="AI120" s="25" t="n"/>
      <c r="AJ120" s="25" t="n"/>
      <c r="AK120" s="25" t="n"/>
      <c r="AL120" s="26" t="n"/>
      <c r="AM120" s="24" t="n"/>
    </row>
    <row r="121">
      <c r="A121" t="inlineStr">
        <is>
          <t>g30-20-50</t>
        </is>
      </c>
      <c r="B121" t="n">
        <v>30</v>
      </c>
      <c r="C121" t="n">
        <v>20</v>
      </c>
      <c r="D121" t="n">
        <v>50</v>
      </c>
      <c r="E121" s="10" t="n"/>
      <c r="F121" s="10" t="n"/>
      <c r="G121" s="10" t="n"/>
      <c r="H121" s="10" t="n"/>
      <c r="I121" s="10" t="n"/>
      <c r="J121" s="10" t="n"/>
      <c r="K121" s="10" t="n"/>
      <c r="L121" s="10" t="n"/>
      <c r="M121" s="10" t="n"/>
      <c r="N121" s="10" t="n"/>
      <c r="O121" s="10" t="n"/>
      <c r="P121" s="23" t="n"/>
      <c r="Q121" s="23" t="n"/>
      <c r="R121" s="24" t="n"/>
      <c r="S121" s="24" t="n"/>
      <c r="T121" s="24" t="n"/>
      <c r="U121" s="24" t="n"/>
      <c r="V121" s="24" t="n"/>
      <c r="W121" s="24" t="n"/>
      <c r="X121" s="24" t="n"/>
      <c r="Y121" s="24" t="n"/>
      <c r="Z121" s="24" t="n"/>
      <c r="AA121" s="24" t="n"/>
      <c r="AB121" s="24" t="n"/>
      <c r="AC121" s="24" t="n"/>
      <c r="AD121" s="24" t="n"/>
      <c r="AE121" s="24" t="n"/>
      <c r="AF121" s="10" t="n"/>
      <c r="AG121" s="10" t="n"/>
      <c r="AH121" s="10" t="n"/>
      <c r="AI121" s="25" t="n"/>
      <c r="AJ121" s="25" t="n"/>
      <c r="AK121" s="25" t="n"/>
      <c r="AL121" s="26" t="n"/>
      <c r="AM121" s="24" t="n"/>
    </row>
    <row r="122">
      <c r="A122" t="inlineStr">
        <is>
          <t>g30-30-40</t>
        </is>
      </c>
      <c r="B122" t="n">
        <v>30</v>
      </c>
      <c r="C122" t="n">
        <v>30</v>
      </c>
      <c r="D122" t="n">
        <v>40</v>
      </c>
      <c r="E122" s="10" t="n"/>
      <c r="F122" s="10" t="n"/>
      <c r="G122" s="10" t="n"/>
      <c r="H122" s="10" t="n"/>
      <c r="I122" s="10" t="n"/>
      <c r="J122" s="10" t="n"/>
      <c r="K122" s="10" t="n"/>
      <c r="L122" s="10" t="n"/>
      <c r="M122" s="10" t="n"/>
      <c r="N122" s="10" t="n"/>
      <c r="O122" s="10" t="n"/>
      <c r="P122" s="23" t="n"/>
      <c r="Q122" s="23" t="n"/>
      <c r="R122" s="24" t="n"/>
      <c r="S122" s="24" t="n"/>
      <c r="T122" s="24" t="n"/>
      <c r="U122" s="24" t="n"/>
      <c r="V122" s="24" t="n"/>
      <c r="W122" s="24" t="n"/>
      <c r="X122" s="24" t="n"/>
      <c r="Y122" s="24" t="n"/>
      <c r="Z122" s="24" t="n"/>
      <c r="AA122" s="24" t="n"/>
      <c r="AB122" s="24" t="n"/>
      <c r="AC122" s="24" t="n"/>
      <c r="AD122" s="24" t="n"/>
      <c r="AE122" s="24" t="n"/>
      <c r="AF122" s="10" t="n"/>
      <c r="AG122" s="10" t="n"/>
      <c r="AH122" s="10" t="n"/>
      <c r="AI122" s="25" t="n"/>
      <c r="AJ122" s="25" t="n"/>
      <c r="AK122" s="25" t="n"/>
      <c r="AL122" s="26" t="n"/>
      <c r="AM122" s="24" t="n"/>
    </row>
    <row r="123">
      <c r="A123" t="inlineStr">
        <is>
          <t>g30-40-30</t>
        </is>
      </c>
      <c r="B123" t="n">
        <v>30</v>
      </c>
      <c r="C123" t="n">
        <v>40</v>
      </c>
      <c r="D123" t="n">
        <v>30</v>
      </c>
      <c r="E123" s="10" t="n"/>
      <c r="F123" s="10" t="n"/>
      <c r="G123" s="10" t="n"/>
      <c r="H123" s="10" t="n"/>
      <c r="I123" s="10" t="n"/>
      <c r="J123" s="10" t="n"/>
      <c r="K123" s="10" t="n"/>
      <c r="L123" s="10" t="n"/>
      <c r="M123" s="10" t="n"/>
      <c r="N123" s="10" t="n"/>
      <c r="O123" s="10" t="n"/>
      <c r="P123" s="23" t="n"/>
      <c r="Q123" s="23" t="n"/>
      <c r="R123" s="24" t="n"/>
      <c r="S123" s="24" t="n"/>
      <c r="T123" s="24" t="n"/>
      <c r="U123" s="24" t="n"/>
      <c r="V123" s="24" t="n"/>
      <c r="W123" s="24" t="n"/>
      <c r="X123" s="24" t="n"/>
      <c r="Y123" s="24" t="n"/>
      <c r="Z123" s="24" t="n"/>
      <c r="AA123" s="24" t="n"/>
      <c r="AB123" s="24" t="n"/>
      <c r="AC123" s="24" t="n"/>
      <c r="AD123" s="24" t="n"/>
      <c r="AE123" s="24" t="n"/>
      <c r="AF123" s="10" t="n"/>
      <c r="AG123" s="10" t="n"/>
      <c r="AH123" s="10" t="n"/>
      <c r="AI123" s="25" t="n"/>
      <c r="AJ123" s="25" t="n"/>
      <c r="AK123" s="25" t="n"/>
      <c r="AL123" s="26" t="n"/>
      <c r="AM123" s="24" t="n"/>
    </row>
    <row r="124">
      <c r="A124" t="inlineStr">
        <is>
          <t>g30-50-20</t>
        </is>
      </c>
      <c r="B124" t="n">
        <v>30</v>
      </c>
      <c r="C124" t="n">
        <v>50</v>
      </c>
      <c r="D124" t="n">
        <v>20</v>
      </c>
      <c r="E124" s="10" t="n"/>
      <c r="F124" s="10" t="n"/>
      <c r="G124" s="10" t="n"/>
      <c r="H124" s="10" t="n"/>
      <c r="I124" s="10" t="n"/>
      <c r="J124" s="10" t="n"/>
      <c r="K124" s="10" t="n"/>
      <c r="L124" s="10" t="n"/>
      <c r="M124" s="10" t="n"/>
      <c r="N124" s="10" t="n"/>
      <c r="O124" s="10" t="n"/>
      <c r="P124" s="23" t="n"/>
      <c r="Q124" s="23" t="n"/>
      <c r="R124" s="24" t="n"/>
      <c r="S124" s="24" t="n"/>
      <c r="T124" s="24" t="n"/>
      <c r="U124" s="24" t="n"/>
      <c r="V124" s="24" t="n"/>
      <c r="W124" s="24" t="n"/>
      <c r="X124" s="24" t="n"/>
      <c r="Y124" s="24" t="n"/>
      <c r="Z124" s="24" t="n"/>
      <c r="AA124" s="24" t="n"/>
      <c r="AB124" s="24" t="n"/>
      <c r="AC124" s="24" t="n"/>
      <c r="AD124" s="24" t="n"/>
      <c r="AE124" s="24" t="n"/>
      <c r="AF124" s="10" t="n"/>
      <c r="AG124" s="10" t="n"/>
      <c r="AH124" s="10" t="n"/>
      <c r="AI124" s="25" t="n"/>
      <c r="AJ124" s="25" t="n"/>
      <c r="AK124" s="25" t="n"/>
      <c r="AL124" s="26" t="n"/>
      <c r="AM124" s="24" t="n"/>
    </row>
    <row r="125">
      <c r="A125" t="inlineStr">
        <is>
          <t>g30-60-10</t>
        </is>
      </c>
      <c r="B125" t="n">
        <v>30</v>
      </c>
      <c r="C125" t="n">
        <v>60</v>
      </c>
      <c r="D125" t="n">
        <v>10</v>
      </c>
      <c r="E125" s="10" t="n"/>
      <c r="F125" s="10" t="n"/>
      <c r="G125" s="10" t="n"/>
      <c r="H125" s="10" t="n"/>
      <c r="I125" s="10" t="n"/>
      <c r="J125" s="10" t="n"/>
      <c r="K125" s="10" t="n"/>
      <c r="L125" s="10" t="n"/>
      <c r="M125" s="10" t="n"/>
      <c r="N125" s="10" t="n"/>
      <c r="O125" s="10" t="n"/>
      <c r="P125" s="23" t="n"/>
      <c r="Q125" s="23" t="n"/>
      <c r="R125" s="24" t="n"/>
      <c r="S125" s="24" t="n"/>
      <c r="T125" s="24" t="n"/>
      <c r="U125" s="24" t="n"/>
      <c r="V125" s="24" t="n"/>
      <c r="W125" s="24" t="n"/>
      <c r="X125" s="24" t="n"/>
      <c r="Y125" s="24" t="n"/>
      <c r="Z125" s="24" t="n"/>
      <c r="AA125" s="24" t="n"/>
      <c r="AB125" s="24" t="n"/>
      <c r="AC125" s="24" t="n"/>
      <c r="AD125" s="24" t="n"/>
      <c r="AE125" s="24" t="n"/>
      <c r="AF125" s="10" t="n"/>
      <c r="AG125" s="10" t="n"/>
      <c r="AH125" s="10" t="n"/>
      <c r="AI125" s="25" t="n"/>
      <c r="AJ125" s="25" t="n"/>
      <c r="AK125" s="25" t="n"/>
      <c r="AL125" s="26" t="n"/>
      <c r="AM125" s="24" t="n"/>
    </row>
    <row r="126">
      <c r="A126" t="inlineStr">
        <is>
          <t>g30-70-0</t>
        </is>
      </c>
      <c r="B126" t="n">
        <v>30</v>
      </c>
      <c r="C126" t="n">
        <v>70</v>
      </c>
      <c r="D126" t="n">
        <v>0</v>
      </c>
      <c r="E126" s="10" t="n"/>
      <c r="F126" s="10" t="n"/>
      <c r="G126" s="10" t="n"/>
      <c r="H126" s="10" t="n"/>
      <c r="I126" s="10" t="n"/>
      <c r="J126" s="10" t="n"/>
      <c r="K126" s="10" t="n"/>
      <c r="L126" s="10" t="n"/>
      <c r="M126" s="10" t="n"/>
      <c r="N126" s="10" t="n"/>
      <c r="O126" s="10" t="n"/>
      <c r="P126" s="23" t="n"/>
      <c r="Q126" s="23" t="n"/>
      <c r="R126" s="24" t="n"/>
      <c r="S126" s="24" t="n"/>
      <c r="T126" s="24" t="n"/>
      <c r="U126" s="24" t="n"/>
      <c r="V126" s="24" t="n"/>
      <c r="W126" s="24" t="n"/>
      <c r="X126" s="24" t="n"/>
      <c r="Y126" s="24" t="n"/>
      <c r="Z126" s="24" t="n"/>
      <c r="AA126" s="24" t="n"/>
      <c r="AB126" s="24" t="n"/>
      <c r="AC126" s="24" t="n"/>
      <c r="AD126" s="24" t="n"/>
      <c r="AE126" s="24" t="n"/>
      <c r="AF126" s="10" t="n"/>
      <c r="AG126" s="10" t="n"/>
      <c r="AH126" s="10" t="n"/>
      <c r="AI126" s="25" t="n"/>
      <c r="AJ126" s="25" t="n"/>
      <c r="AK126" s="25" t="n"/>
      <c r="AL126" s="26" t="n"/>
      <c r="AM126" s="24" t="n"/>
    </row>
    <row r="127">
      <c r="A127" t="inlineStr">
        <is>
          <t>g40-0-60</t>
        </is>
      </c>
      <c r="B127" t="n">
        <v>40</v>
      </c>
      <c r="C127" t="n">
        <v>0</v>
      </c>
      <c r="D127" t="n">
        <v>60</v>
      </c>
      <c r="E127" s="10" t="n"/>
      <c r="F127" s="10" t="n"/>
      <c r="G127" s="10" t="n"/>
      <c r="H127" s="10" t="n"/>
      <c r="I127" s="10" t="n"/>
      <c r="J127" s="10" t="n"/>
      <c r="K127" s="10" t="n"/>
      <c r="L127" s="10" t="n"/>
      <c r="M127" s="10" t="n"/>
      <c r="N127" s="10" t="n"/>
      <c r="O127" s="10" t="n"/>
      <c r="P127" s="23" t="n"/>
      <c r="Q127" s="23" t="n"/>
      <c r="R127" s="24" t="n"/>
      <c r="S127" s="24" t="n"/>
      <c r="T127" s="24" t="n"/>
      <c r="U127" s="24" t="n"/>
      <c r="V127" s="24" t="n"/>
      <c r="W127" s="24" t="n"/>
      <c r="X127" s="24" t="n"/>
      <c r="Y127" s="24" t="n"/>
      <c r="Z127" s="24" t="n"/>
      <c r="AA127" s="24" t="n"/>
      <c r="AB127" s="24" t="n"/>
      <c r="AC127" s="24" t="n"/>
      <c r="AD127" s="24" t="n"/>
      <c r="AE127" s="24" t="n"/>
      <c r="AF127" s="10" t="n"/>
      <c r="AG127" s="10" t="n"/>
      <c r="AH127" s="10" t="n"/>
      <c r="AI127" s="25" t="n"/>
      <c r="AJ127" s="25" t="n"/>
      <c r="AK127" s="25" t="n"/>
      <c r="AL127" s="26" t="n"/>
      <c r="AM127" s="24" t="n"/>
    </row>
    <row r="128">
      <c r="A128" t="inlineStr">
        <is>
          <t>g40-10-50</t>
        </is>
      </c>
      <c r="B128" t="n">
        <v>40</v>
      </c>
      <c r="C128" t="n">
        <v>10</v>
      </c>
      <c r="D128" t="n">
        <v>50</v>
      </c>
      <c r="E128" s="10" t="n"/>
      <c r="F128" s="10" t="n"/>
      <c r="G128" s="10" t="n"/>
      <c r="H128" s="10" t="n"/>
      <c r="I128" s="10" t="n"/>
      <c r="J128" s="10" t="n"/>
      <c r="K128" s="10" t="n"/>
      <c r="L128" s="10" t="n"/>
      <c r="M128" s="10" t="n"/>
      <c r="N128" s="10" t="n"/>
      <c r="O128" s="10" t="n"/>
      <c r="P128" s="23" t="n"/>
      <c r="Q128" s="23" t="n"/>
      <c r="R128" s="24" t="n"/>
      <c r="S128" s="24" t="n"/>
      <c r="T128" s="24" t="n"/>
      <c r="U128" s="24" t="n"/>
      <c r="V128" s="24" t="n"/>
      <c r="W128" s="24" t="n"/>
      <c r="X128" s="24" t="n"/>
      <c r="Y128" s="24" t="n"/>
      <c r="Z128" s="24" t="n"/>
      <c r="AA128" s="24" t="n"/>
      <c r="AB128" s="24" t="n"/>
      <c r="AC128" s="24" t="n"/>
      <c r="AD128" s="24" t="n"/>
      <c r="AE128" s="24" t="n"/>
      <c r="AF128" s="10" t="n"/>
      <c r="AG128" s="10" t="n"/>
      <c r="AH128" s="10" t="n"/>
      <c r="AI128" s="25" t="n"/>
      <c r="AJ128" s="25" t="n"/>
      <c r="AK128" s="25" t="n"/>
      <c r="AL128" s="26" t="n"/>
      <c r="AM128" s="24" t="n"/>
    </row>
    <row r="129">
      <c r="A129" t="inlineStr">
        <is>
          <t>g40-20-40</t>
        </is>
      </c>
      <c r="B129" t="n">
        <v>40</v>
      </c>
      <c r="C129" t="n">
        <v>20</v>
      </c>
      <c r="D129" t="n">
        <v>40</v>
      </c>
      <c r="E129" s="10" t="n"/>
      <c r="F129" s="10" t="n"/>
      <c r="G129" s="10" t="n"/>
      <c r="H129" s="10" t="n"/>
      <c r="I129" s="10" t="n"/>
      <c r="J129" s="10" t="n"/>
      <c r="K129" s="10" t="n"/>
      <c r="L129" s="10" t="n"/>
      <c r="M129" s="10" t="n"/>
      <c r="N129" s="10" t="n"/>
      <c r="O129" s="10" t="n"/>
      <c r="P129" s="23" t="n"/>
      <c r="Q129" s="23" t="n"/>
      <c r="R129" s="24" t="n"/>
      <c r="S129" s="24" t="n"/>
      <c r="T129" s="24" t="n"/>
      <c r="U129" s="24" t="n"/>
      <c r="V129" s="24" t="n"/>
      <c r="W129" s="24" t="n"/>
      <c r="X129" s="24" t="n"/>
      <c r="Y129" s="24" t="n"/>
      <c r="Z129" s="24" t="n"/>
      <c r="AA129" s="24" t="n"/>
      <c r="AB129" s="24" t="n"/>
      <c r="AC129" s="24" t="n"/>
      <c r="AD129" s="24" t="n"/>
      <c r="AE129" s="24" t="n"/>
      <c r="AF129" s="10" t="n"/>
      <c r="AG129" s="10" t="n"/>
      <c r="AH129" s="10" t="n"/>
      <c r="AI129" s="25" t="n"/>
      <c r="AJ129" s="25" t="n"/>
      <c r="AK129" s="25" t="n"/>
      <c r="AL129" s="26" t="n"/>
      <c r="AM129" s="24" t="n"/>
    </row>
    <row r="130">
      <c r="A130" t="inlineStr">
        <is>
          <t>g40-30-30</t>
        </is>
      </c>
      <c r="B130" t="n">
        <v>40</v>
      </c>
      <c r="C130" t="n">
        <v>30</v>
      </c>
      <c r="D130" t="n">
        <v>30</v>
      </c>
      <c r="E130" s="10" t="n"/>
      <c r="F130" s="10" t="n"/>
      <c r="G130" s="10" t="n"/>
      <c r="H130" s="10" t="n"/>
      <c r="I130" s="10" t="n"/>
      <c r="J130" s="10" t="n"/>
      <c r="K130" s="10" t="n"/>
      <c r="L130" s="10" t="n"/>
      <c r="M130" s="10" t="n"/>
      <c r="N130" s="10" t="n"/>
      <c r="O130" s="10" t="n"/>
      <c r="P130" s="23" t="n"/>
      <c r="Q130" s="23" t="n"/>
      <c r="R130" s="24" t="n"/>
      <c r="S130" s="24" t="n"/>
      <c r="T130" s="24" t="n"/>
      <c r="U130" s="24" t="n"/>
      <c r="V130" s="24" t="n"/>
      <c r="W130" s="24" t="n"/>
      <c r="X130" s="24" t="n"/>
      <c r="Y130" s="24" t="n"/>
      <c r="Z130" s="24" t="n"/>
      <c r="AA130" s="24" t="n"/>
      <c r="AB130" s="24" t="n"/>
      <c r="AC130" s="24" t="n"/>
      <c r="AD130" s="24" t="n"/>
      <c r="AE130" s="24" t="n"/>
      <c r="AF130" s="10" t="n"/>
      <c r="AG130" s="10" t="n"/>
      <c r="AH130" s="10" t="n"/>
      <c r="AI130" s="25" t="n"/>
      <c r="AJ130" s="25" t="n"/>
      <c r="AK130" s="25" t="n"/>
      <c r="AL130" s="26" t="n"/>
      <c r="AM130" s="24" t="n"/>
    </row>
    <row r="131">
      <c r="A131" t="inlineStr">
        <is>
          <t>g40-40-20</t>
        </is>
      </c>
      <c r="B131" t="n">
        <v>40</v>
      </c>
      <c r="C131" t="n">
        <v>40</v>
      </c>
      <c r="D131" t="n">
        <v>20</v>
      </c>
      <c r="E131" s="10" t="n"/>
      <c r="F131" s="10" t="n"/>
      <c r="G131" s="10" t="n"/>
      <c r="H131" s="10" t="n"/>
      <c r="I131" s="10" t="n"/>
      <c r="J131" s="10" t="n"/>
      <c r="K131" s="10" t="n"/>
      <c r="L131" s="10" t="n"/>
      <c r="M131" s="10" t="n"/>
      <c r="N131" s="10" t="n"/>
      <c r="O131" s="10" t="n"/>
      <c r="P131" s="23" t="n"/>
      <c r="Q131" s="23" t="n"/>
      <c r="R131" s="24" t="n"/>
      <c r="S131" s="24" t="n"/>
      <c r="T131" s="24" t="n"/>
      <c r="U131" s="24" t="n"/>
      <c r="V131" s="24" t="n"/>
      <c r="W131" s="24" t="n"/>
      <c r="X131" s="24" t="n"/>
      <c r="Y131" s="24" t="n"/>
      <c r="Z131" s="24" t="n"/>
      <c r="AA131" s="24" t="n"/>
      <c r="AB131" s="24" t="n"/>
      <c r="AC131" s="24" t="n"/>
      <c r="AD131" s="24" t="n"/>
      <c r="AE131" s="24" t="n"/>
      <c r="AF131" s="10" t="n"/>
      <c r="AG131" s="10" t="n"/>
      <c r="AH131" s="10" t="n"/>
      <c r="AI131" s="25" t="n"/>
      <c r="AJ131" s="25" t="n"/>
      <c r="AK131" s="25" t="n"/>
      <c r="AL131" s="26" t="n"/>
      <c r="AM131" s="24" t="n"/>
    </row>
    <row r="132">
      <c r="A132" t="inlineStr">
        <is>
          <t>g40-50-10</t>
        </is>
      </c>
      <c r="B132" t="n">
        <v>40</v>
      </c>
      <c r="C132" t="n">
        <v>50</v>
      </c>
      <c r="D132" t="n">
        <v>10</v>
      </c>
      <c r="E132" s="10" t="n"/>
      <c r="F132" s="10" t="n"/>
      <c r="G132" s="10" t="n"/>
      <c r="H132" s="10" t="n"/>
      <c r="I132" s="10" t="n"/>
      <c r="J132" s="10" t="n"/>
      <c r="K132" s="10" t="n"/>
      <c r="L132" s="10" t="n"/>
      <c r="M132" s="10" t="n"/>
      <c r="N132" s="10" t="n"/>
      <c r="O132" s="10" t="n"/>
      <c r="P132" s="23" t="n"/>
      <c r="Q132" s="23" t="n"/>
      <c r="R132" s="24" t="n"/>
      <c r="S132" s="24" t="n"/>
      <c r="T132" s="24" t="n"/>
      <c r="U132" s="24" t="n"/>
      <c r="V132" s="24" t="n"/>
      <c r="W132" s="24" t="n"/>
      <c r="X132" s="24" t="n"/>
      <c r="Y132" s="24" t="n"/>
      <c r="Z132" s="24" t="n"/>
      <c r="AA132" s="24" t="n"/>
      <c r="AB132" s="24" t="n"/>
      <c r="AC132" s="24" t="n"/>
      <c r="AD132" s="24" t="n"/>
      <c r="AE132" s="24" t="n"/>
      <c r="AF132" s="10" t="n"/>
      <c r="AG132" s="10" t="n"/>
      <c r="AH132" s="10" t="n"/>
      <c r="AI132" s="25" t="n"/>
      <c r="AJ132" s="25" t="n"/>
      <c r="AK132" s="25" t="n"/>
      <c r="AL132" s="26" t="n"/>
      <c r="AM132" s="24" t="n"/>
    </row>
    <row r="133">
      <c r="A133" t="inlineStr">
        <is>
          <t>g40-60-0</t>
        </is>
      </c>
      <c r="B133" t="n">
        <v>40</v>
      </c>
      <c r="C133" t="n">
        <v>60</v>
      </c>
      <c r="D133" t="n">
        <v>0</v>
      </c>
      <c r="E133" s="10" t="n"/>
      <c r="F133" s="10" t="n"/>
      <c r="G133" s="10" t="n"/>
      <c r="H133" s="10" t="n"/>
      <c r="I133" s="10" t="n"/>
      <c r="J133" s="10" t="n"/>
      <c r="K133" s="10" t="n"/>
      <c r="L133" s="10" t="n"/>
      <c r="M133" s="10" t="n"/>
      <c r="N133" s="10" t="n"/>
      <c r="O133" s="10" t="n"/>
      <c r="P133" s="23" t="n"/>
      <c r="Q133" s="23" t="n"/>
      <c r="R133" s="24" t="n"/>
      <c r="S133" s="24" t="n"/>
      <c r="T133" s="24" t="n"/>
      <c r="U133" s="24" t="n"/>
      <c r="V133" s="24" t="n"/>
      <c r="W133" s="24" t="n"/>
      <c r="X133" s="24" t="n"/>
      <c r="Y133" s="24" t="n"/>
      <c r="Z133" s="24" t="n"/>
      <c r="AA133" s="24" t="n"/>
      <c r="AB133" s="24" t="n"/>
      <c r="AC133" s="24" t="n"/>
      <c r="AD133" s="24" t="n"/>
      <c r="AE133" s="24" t="n"/>
      <c r="AF133" s="10" t="n"/>
      <c r="AG133" s="10" t="n"/>
      <c r="AH133" s="10" t="n"/>
      <c r="AI133" s="25" t="n"/>
      <c r="AJ133" s="25" t="n"/>
      <c r="AK133" s="25" t="n"/>
      <c r="AL133" s="26" t="n"/>
      <c r="AM133" s="24" t="n"/>
    </row>
    <row r="134">
      <c r="A134" t="inlineStr">
        <is>
          <t>g50-0-50</t>
        </is>
      </c>
      <c r="B134" t="n">
        <v>50</v>
      </c>
      <c r="C134" t="n">
        <v>0</v>
      </c>
      <c r="D134" t="n">
        <v>50</v>
      </c>
      <c r="E134" s="10" t="n"/>
      <c r="F134" s="10" t="n"/>
      <c r="G134" s="10" t="n"/>
      <c r="H134" s="10" t="n"/>
      <c r="I134" s="10" t="n"/>
      <c r="J134" s="10" t="n"/>
      <c r="K134" s="10" t="n"/>
      <c r="L134" s="10" t="n"/>
      <c r="M134" s="10" t="n"/>
      <c r="N134" s="10" t="n"/>
      <c r="O134" s="10" t="n"/>
      <c r="P134" s="23" t="n"/>
      <c r="Q134" s="23" t="n"/>
      <c r="R134" s="24" t="n"/>
      <c r="S134" s="24" t="n"/>
      <c r="T134" s="24" t="n"/>
      <c r="U134" s="24" t="n"/>
      <c r="V134" s="24" t="n"/>
      <c r="W134" s="24" t="n"/>
      <c r="X134" s="24" t="n"/>
      <c r="Y134" s="24" t="n"/>
      <c r="Z134" s="24" t="n"/>
      <c r="AA134" s="24" t="n"/>
      <c r="AB134" s="24" t="n"/>
      <c r="AC134" s="24" t="n"/>
      <c r="AD134" s="24" t="n"/>
      <c r="AE134" s="24" t="n"/>
      <c r="AF134" s="10" t="n"/>
      <c r="AG134" s="10" t="n"/>
      <c r="AH134" s="10" t="n"/>
      <c r="AI134" s="25" t="n"/>
      <c r="AJ134" s="25" t="n"/>
      <c r="AK134" s="25" t="n"/>
      <c r="AL134" s="26" t="n"/>
      <c r="AM134" s="24" t="n"/>
    </row>
    <row r="135">
      <c r="A135" t="inlineStr">
        <is>
          <t>g50-10-40</t>
        </is>
      </c>
      <c r="B135" t="n">
        <v>50</v>
      </c>
      <c r="C135" t="n">
        <v>10</v>
      </c>
      <c r="D135" t="n">
        <v>40</v>
      </c>
      <c r="E135" s="10" t="n"/>
      <c r="F135" s="10" t="n"/>
      <c r="G135" s="10" t="n"/>
      <c r="H135" s="10" t="n"/>
      <c r="I135" s="10" t="n"/>
      <c r="J135" s="10" t="n"/>
      <c r="K135" s="10" t="n"/>
      <c r="L135" s="10" t="n"/>
      <c r="M135" s="10" t="n"/>
      <c r="N135" s="10" t="n"/>
      <c r="O135" s="10" t="n"/>
      <c r="P135" s="23" t="n"/>
      <c r="Q135" s="23" t="n"/>
      <c r="R135" s="24" t="n"/>
      <c r="S135" s="24" t="n"/>
      <c r="T135" s="24" t="n"/>
      <c r="U135" s="24" t="n"/>
      <c r="V135" s="24" t="n"/>
      <c r="W135" s="24" t="n"/>
      <c r="X135" s="24" t="n"/>
      <c r="Y135" s="24" t="n"/>
      <c r="Z135" s="24" t="n"/>
      <c r="AA135" s="24" t="n"/>
      <c r="AB135" s="24" t="n"/>
      <c r="AC135" s="24" t="n"/>
      <c r="AD135" s="24" t="n"/>
      <c r="AE135" s="24" t="n"/>
      <c r="AF135" s="10" t="n"/>
      <c r="AG135" s="10" t="n"/>
      <c r="AH135" s="10" t="n"/>
      <c r="AI135" s="25" t="n"/>
      <c r="AJ135" s="25" t="n"/>
      <c r="AK135" s="25" t="n"/>
      <c r="AL135" s="26" t="n"/>
      <c r="AM135" s="24" t="n"/>
    </row>
    <row r="136">
      <c r="A136" t="inlineStr">
        <is>
          <t>g50-20-30</t>
        </is>
      </c>
      <c r="B136" t="n">
        <v>50</v>
      </c>
      <c r="C136" t="n">
        <v>20</v>
      </c>
      <c r="D136" t="n">
        <v>30</v>
      </c>
      <c r="E136" s="10" t="n"/>
      <c r="F136" s="10" t="n"/>
      <c r="G136" s="10" t="n"/>
      <c r="H136" s="10" t="n"/>
      <c r="I136" s="10" t="n"/>
      <c r="J136" s="10" t="n"/>
      <c r="K136" s="10" t="n"/>
      <c r="L136" s="10" t="n"/>
      <c r="M136" s="10" t="n"/>
      <c r="N136" s="10" t="n"/>
      <c r="O136" s="10" t="n"/>
      <c r="P136" s="23" t="n"/>
      <c r="Q136" s="23" t="n"/>
      <c r="R136" s="24" t="n"/>
      <c r="S136" s="24" t="n"/>
      <c r="T136" s="24" t="n"/>
      <c r="U136" s="24" t="n"/>
      <c r="V136" s="24" t="n"/>
      <c r="W136" s="24" t="n"/>
      <c r="X136" s="24" t="n"/>
      <c r="Y136" s="24" t="n"/>
      <c r="Z136" s="24" t="n"/>
      <c r="AA136" s="24" t="n"/>
      <c r="AB136" s="24" t="n"/>
      <c r="AC136" s="24" t="n"/>
      <c r="AD136" s="24" t="n"/>
      <c r="AE136" s="24" t="n"/>
      <c r="AF136" s="10" t="n"/>
      <c r="AG136" s="10" t="n"/>
      <c r="AH136" s="10" t="n"/>
      <c r="AI136" s="25" t="n"/>
      <c r="AJ136" s="25" t="n"/>
      <c r="AK136" s="25" t="n"/>
      <c r="AL136" s="26" t="n"/>
      <c r="AM136" s="24" t="n"/>
    </row>
    <row r="137">
      <c r="A137" t="inlineStr">
        <is>
          <t>g50-30-20</t>
        </is>
      </c>
      <c r="B137" t="n">
        <v>50</v>
      </c>
      <c r="C137" t="n">
        <v>30</v>
      </c>
      <c r="D137" t="n">
        <v>20</v>
      </c>
      <c r="E137" s="10" t="n"/>
      <c r="F137" s="10" t="n"/>
      <c r="G137" s="10" t="n"/>
      <c r="H137" s="10" t="n"/>
      <c r="I137" s="10" t="n"/>
      <c r="J137" s="10" t="n"/>
      <c r="K137" s="10" t="n"/>
      <c r="L137" s="10" t="n"/>
      <c r="M137" s="10" t="n"/>
      <c r="N137" s="10" t="n"/>
      <c r="O137" s="10" t="n"/>
      <c r="P137" s="23" t="n"/>
      <c r="Q137" s="23" t="n"/>
      <c r="R137" s="24" t="n"/>
      <c r="S137" s="24" t="n"/>
      <c r="T137" s="24" t="n"/>
      <c r="U137" s="24" t="n"/>
      <c r="V137" s="24" t="n"/>
      <c r="W137" s="24" t="n"/>
      <c r="X137" s="24" t="n"/>
      <c r="Y137" s="24" t="n"/>
      <c r="Z137" s="24" t="n"/>
      <c r="AA137" s="24" t="n"/>
      <c r="AB137" s="24" t="n"/>
      <c r="AC137" s="24" t="n"/>
      <c r="AD137" s="24" t="n"/>
      <c r="AE137" s="24" t="n"/>
      <c r="AF137" s="10" t="n"/>
      <c r="AG137" s="10" t="n"/>
      <c r="AH137" s="10" t="n"/>
      <c r="AI137" s="25" t="n"/>
      <c r="AJ137" s="25" t="n"/>
      <c r="AK137" s="25" t="n"/>
      <c r="AL137" s="26" t="n"/>
      <c r="AM137" s="24" t="n"/>
    </row>
    <row r="138">
      <c r="A138" t="inlineStr">
        <is>
          <t>g50-40-10</t>
        </is>
      </c>
      <c r="B138" t="n">
        <v>50</v>
      </c>
      <c r="C138" t="n">
        <v>40</v>
      </c>
      <c r="D138" t="n">
        <v>10</v>
      </c>
      <c r="E138" s="10" t="n"/>
      <c r="F138" s="10" t="n"/>
      <c r="G138" s="10" t="n"/>
      <c r="H138" s="10" t="n"/>
      <c r="I138" s="10" t="n"/>
      <c r="J138" s="10" t="n"/>
      <c r="K138" s="10" t="n"/>
      <c r="L138" s="10" t="n"/>
      <c r="M138" s="10" t="n"/>
      <c r="N138" s="10" t="n"/>
      <c r="O138" s="10" t="n"/>
      <c r="P138" s="23" t="n"/>
      <c r="Q138" s="23" t="n"/>
      <c r="R138" s="24" t="n"/>
      <c r="S138" s="24" t="n"/>
      <c r="T138" s="24" t="n"/>
      <c r="U138" s="24" t="n"/>
      <c r="V138" s="24" t="n"/>
      <c r="W138" s="24" t="n"/>
      <c r="X138" s="24" t="n"/>
      <c r="Y138" s="24" t="n"/>
      <c r="Z138" s="24" t="n"/>
      <c r="AA138" s="24" t="n"/>
      <c r="AB138" s="24" t="n"/>
      <c r="AC138" s="24" t="n"/>
      <c r="AD138" s="24" t="n"/>
      <c r="AE138" s="24" t="n"/>
      <c r="AF138" s="10" t="n"/>
      <c r="AG138" s="10" t="n"/>
      <c r="AH138" s="10" t="n"/>
      <c r="AI138" s="25" t="n"/>
      <c r="AJ138" s="25" t="n"/>
      <c r="AK138" s="25" t="n"/>
      <c r="AL138" s="26" t="n"/>
      <c r="AM138" s="24" t="n"/>
    </row>
    <row r="139">
      <c r="A139" t="inlineStr">
        <is>
          <t>g50-50-0</t>
        </is>
      </c>
      <c r="B139" t="n">
        <v>50</v>
      </c>
      <c r="C139" t="n">
        <v>50</v>
      </c>
      <c r="D139" t="n">
        <v>0</v>
      </c>
      <c r="E139" s="10" t="n"/>
      <c r="F139" s="10" t="n"/>
      <c r="G139" s="10" t="n"/>
      <c r="H139" s="10" t="n"/>
      <c r="I139" s="10" t="n"/>
      <c r="J139" s="10" t="n"/>
      <c r="K139" s="10" t="n"/>
      <c r="L139" s="10" t="n"/>
      <c r="M139" s="10" t="n"/>
      <c r="N139" s="10" t="n"/>
      <c r="O139" s="10" t="n"/>
      <c r="P139" s="23" t="n"/>
      <c r="Q139" s="23" t="n"/>
      <c r="R139" s="24" t="n"/>
      <c r="S139" s="24" t="n"/>
      <c r="T139" s="24" t="n"/>
      <c r="U139" s="24" t="n"/>
      <c r="V139" s="24" t="n"/>
      <c r="W139" s="24" t="n"/>
      <c r="X139" s="24" t="n"/>
      <c r="Y139" s="24" t="n"/>
      <c r="Z139" s="24" t="n"/>
      <c r="AA139" s="24" t="n"/>
      <c r="AB139" s="24" t="n"/>
      <c r="AC139" s="24" t="n"/>
      <c r="AD139" s="24" t="n"/>
      <c r="AE139" s="24" t="n"/>
      <c r="AF139" s="10" t="n"/>
      <c r="AG139" s="10" t="n"/>
      <c r="AH139" s="10" t="n"/>
      <c r="AI139" s="25" t="n"/>
      <c r="AJ139" s="25" t="n"/>
      <c r="AK139" s="25" t="n"/>
      <c r="AL139" s="26" t="n"/>
      <c r="AM139" s="24" t="n"/>
    </row>
    <row r="140">
      <c r="A140" t="inlineStr">
        <is>
          <t>g60-0-40</t>
        </is>
      </c>
      <c r="B140" t="n">
        <v>60</v>
      </c>
      <c r="C140" t="n">
        <v>0</v>
      </c>
      <c r="D140" t="n">
        <v>40</v>
      </c>
      <c r="E140" s="10" t="n"/>
      <c r="F140" s="10" t="n"/>
      <c r="G140" s="10" t="n"/>
      <c r="H140" s="10" t="n"/>
      <c r="I140" s="10" t="n"/>
      <c r="J140" s="10" t="n"/>
      <c r="K140" s="10" t="n"/>
      <c r="L140" s="10" t="n"/>
      <c r="M140" s="10" t="n"/>
      <c r="N140" s="10" t="n"/>
      <c r="O140" s="10" t="n"/>
      <c r="P140" s="23" t="n"/>
      <c r="Q140" s="23" t="n"/>
      <c r="R140" s="24" t="n"/>
      <c r="S140" s="24" t="n"/>
      <c r="T140" s="24" t="n"/>
      <c r="U140" s="24" t="n"/>
      <c r="V140" s="24" t="n"/>
      <c r="W140" s="24" t="n"/>
      <c r="X140" s="24" t="n"/>
      <c r="Y140" s="24" t="n"/>
      <c r="Z140" s="24" t="n"/>
      <c r="AA140" s="24" t="n"/>
      <c r="AB140" s="24" t="n"/>
      <c r="AC140" s="24" t="n"/>
      <c r="AD140" s="24" t="n"/>
      <c r="AE140" s="24" t="n"/>
      <c r="AF140" s="10" t="n"/>
      <c r="AG140" s="10" t="n"/>
      <c r="AH140" s="10" t="n"/>
      <c r="AI140" s="25" t="n"/>
      <c r="AJ140" s="25" t="n"/>
      <c r="AK140" s="25" t="n"/>
      <c r="AL140" s="26" t="n"/>
      <c r="AM140" s="24" t="n"/>
    </row>
    <row r="141">
      <c r="A141" t="inlineStr">
        <is>
          <t>g60-10-30</t>
        </is>
      </c>
      <c r="B141" t="n">
        <v>60</v>
      </c>
      <c r="C141" t="n">
        <v>10</v>
      </c>
      <c r="D141" t="n">
        <v>30</v>
      </c>
      <c r="E141" s="10" t="n"/>
      <c r="F141" s="10" t="n"/>
      <c r="G141" s="10" t="n"/>
      <c r="H141" s="10" t="n"/>
      <c r="I141" s="10" t="n"/>
      <c r="J141" s="10" t="n"/>
      <c r="K141" s="10" t="n"/>
      <c r="L141" s="10" t="n"/>
      <c r="M141" s="10" t="n"/>
      <c r="N141" s="10" t="n"/>
      <c r="O141" s="10" t="n"/>
      <c r="P141" s="23" t="n"/>
      <c r="Q141" s="23" t="n"/>
      <c r="R141" s="24" t="n"/>
      <c r="S141" s="24" t="n"/>
      <c r="T141" s="24" t="n"/>
      <c r="U141" s="24" t="n"/>
      <c r="V141" s="24" t="n"/>
      <c r="W141" s="24" t="n"/>
      <c r="X141" s="24" t="n"/>
      <c r="Y141" s="24" t="n"/>
      <c r="Z141" s="24" t="n"/>
      <c r="AA141" s="24" t="n"/>
      <c r="AB141" s="24" t="n"/>
      <c r="AC141" s="24" t="n"/>
      <c r="AD141" s="24" t="n"/>
      <c r="AE141" s="24" t="n"/>
      <c r="AF141" s="10" t="n"/>
      <c r="AG141" s="10" t="n"/>
      <c r="AH141" s="10" t="n"/>
      <c r="AI141" s="25" t="n"/>
      <c r="AJ141" s="25" t="n"/>
      <c r="AK141" s="25" t="n"/>
      <c r="AL141" s="26" t="n"/>
      <c r="AM141" s="24" t="n"/>
    </row>
    <row r="142">
      <c r="A142" t="inlineStr">
        <is>
          <t>g60-20-20</t>
        </is>
      </c>
      <c r="B142" t="n">
        <v>60</v>
      </c>
      <c r="C142" t="n">
        <v>20</v>
      </c>
      <c r="D142" t="n">
        <v>20</v>
      </c>
      <c r="E142" s="10" t="n"/>
      <c r="F142" s="10" t="n"/>
      <c r="G142" s="10" t="n"/>
      <c r="H142" s="10" t="n"/>
      <c r="I142" s="10" t="n"/>
      <c r="J142" s="10" t="n"/>
      <c r="K142" s="10" t="n"/>
      <c r="L142" s="10" t="n"/>
      <c r="M142" s="10" t="n"/>
      <c r="N142" s="10" t="n"/>
      <c r="O142" s="10" t="n"/>
      <c r="P142" s="23" t="n"/>
      <c r="Q142" s="23" t="n"/>
      <c r="R142" s="24" t="n"/>
      <c r="S142" s="24" t="n"/>
      <c r="T142" s="24" t="n"/>
      <c r="U142" s="24" t="n"/>
      <c r="V142" s="24" t="n"/>
      <c r="W142" s="24" t="n"/>
      <c r="X142" s="24" t="n"/>
      <c r="Y142" s="24" t="n"/>
      <c r="Z142" s="24" t="n"/>
      <c r="AA142" s="24" t="n"/>
      <c r="AB142" s="24" t="n"/>
      <c r="AC142" s="24" t="n"/>
      <c r="AD142" s="24" t="n"/>
      <c r="AE142" s="24" t="n"/>
      <c r="AF142" s="10" t="n"/>
      <c r="AG142" s="10" t="n"/>
      <c r="AH142" s="10" t="n"/>
      <c r="AI142" s="25" t="n"/>
      <c r="AJ142" s="25" t="n"/>
      <c r="AK142" s="25" t="n"/>
      <c r="AL142" s="26" t="n"/>
      <c r="AM142" s="24" t="n"/>
    </row>
    <row r="143">
      <c r="A143" t="inlineStr">
        <is>
          <t>g60-30-10</t>
        </is>
      </c>
      <c r="B143" t="n">
        <v>60</v>
      </c>
      <c r="C143" t="n">
        <v>30</v>
      </c>
      <c r="D143" t="n">
        <v>10</v>
      </c>
      <c r="E143" s="10" t="n"/>
      <c r="F143" s="10" t="n"/>
      <c r="G143" s="10" t="n"/>
      <c r="H143" s="10" t="n"/>
      <c r="I143" s="10" t="n"/>
      <c r="J143" s="10" t="n"/>
      <c r="K143" s="10" t="n"/>
      <c r="L143" s="10" t="n"/>
      <c r="M143" s="10" t="n"/>
      <c r="N143" s="10" t="n"/>
      <c r="O143" s="10" t="n"/>
      <c r="P143" s="23" t="n"/>
      <c r="Q143" s="23" t="n"/>
      <c r="R143" s="24" t="n"/>
      <c r="S143" s="24" t="n"/>
      <c r="T143" s="24" t="n"/>
      <c r="U143" s="24" t="n"/>
      <c r="V143" s="24" t="n"/>
      <c r="W143" s="24" t="n"/>
      <c r="X143" s="24" t="n"/>
      <c r="Y143" s="24" t="n"/>
      <c r="Z143" s="24" t="n"/>
      <c r="AA143" s="24" t="n"/>
      <c r="AB143" s="24" t="n"/>
      <c r="AC143" s="24" t="n"/>
      <c r="AD143" s="24" t="n"/>
      <c r="AE143" s="24" t="n"/>
      <c r="AF143" s="10" t="n"/>
      <c r="AG143" s="10" t="n"/>
      <c r="AH143" s="10" t="n"/>
      <c r="AI143" s="25" t="n"/>
      <c r="AJ143" s="25" t="n"/>
      <c r="AK143" s="25" t="n"/>
      <c r="AL143" s="26" t="n"/>
      <c r="AM143" s="24" t="n"/>
    </row>
    <row r="144">
      <c r="A144" t="inlineStr">
        <is>
          <t>g60-40-0</t>
        </is>
      </c>
      <c r="B144" t="n">
        <v>60</v>
      </c>
      <c r="C144" t="n">
        <v>40</v>
      </c>
      <c r="D144" t="n">
        <v>0</v>
      </c>
      <c r="E144" s="10" t="n"/>
      <c r="F144" s="10" t="n"/>
      <c r="G144" s="10" t="n"/>
      <c r="H144" s="10" t="n"/>
      <c r="I144" s="10" t="n"/>
      <c r="J144" s="10" t="n"/>
      <c r="K144" s="10" t="n"/>
      <c r="L144" s="10" t="n"/>
      <c r="M144" s="10" t="n"/>
      <c r="N144" s="10" t="n"/>
      <c r="O144" s="10" t="n"/>
      <c r="P144" s="23" t="n"/>
      <c r="Q144" s="23" t="n"/>
      <c r="R144" s="24" t="n"/>
      <c r="S144" s="24" t="n"/>
      <c r="T144" s="24" t="n"/>
      <c r="U144" s="24" t="n"/>
      <c r="V144" s="24" t="n"/>
      <c r="W144" s="24" t="n"/>
      <c r="X144" s="24" t="n"/>
      <c r="Y144" s="24" t="n"/>
      <c r="Z144" s="24" t="n"/>
      <c r="AA144" s="24" t="n"/>
      <c r="AB144" s="24" t="n"/>
      <c r="AC144" s="24" t="n"/>
      <c r="AD144" s="24" t="n"/>
      <c r="AE144" s="24" t="n"/>
      <c r="AF144" s="10" t="n"/>
      <c r="AG144" s="10" t="n"/>
      <c r="AH144" s="10" t="n"/>
      <c r="AI144" s="25" t="n"/>
      <c r="AJ144" s="25" t="n"/>
      <c r="AK144" s="25" t="n"/>
      <c r="AL144" s="26" t="n"/>
      <c r="AM144" s="24" t="n"/>
    </row>
    <row r="145">
      <c r="A145" t="inlineStr">
        <is>
          <t>g70-0-30</t>
        </is>
      </c>
      <c r="B145" t="n">
        <v>70</v>
      </c>
      <c r="C145" t="n">
        <v>0</v>
      </c>
      <c r="D145" t="n">
        <v>30</v>
      </c>
      <c r="E145" s="10" t="n"/>
      <c r="F145" s="10" t="n"/>
      <c r="G145" s="10" t="n"/>
      <c r="H145" s="10" t="n"/>
      <c r="I145" s="10" t="n"/>
      <c r="J145" s="10" t="n"/>
      <c r="K145" s="10" t="n"/>
      <c r="L145" s="10" t="n"/>
      <c r="M145" s="10" t="n"/>
      <c r="N145" s="10" t="n"/>
      <c r="O145" s="10" t="n"/>
      <c r="P145" s="23" t="n"/>
      <c r="Q145" s="23" t="n"/>
      <c r="R145" s="24" t="n"/>
      <c r="S145" s="24" t="n"/>
      <c r="T145" s="24" t="n"/>
      <c r="U145" s="24" t="n"/>
      <c r="V145" s="24" t="n"/>
      <c r="W145" s="24" t="n"/>
      <c r="X145" s="24" t="n"/>
      <c r="Y145" s="24" t="n"/>
      <c r="Z145" s="24" t="n"/>
      <c r="AA145" s="24" t="n"/>
      <c r="AB145" s="24" t="n"/>
      <c r="AC145" s="24" t="n"/>
      <c r="AD145" s="24" t="n"/>
      <c r="AE145" s="24" t="n"/>
      <c r="AF145" s="10" t="n"/>
      <c r="AG145" s="10" t="n"/>
      <c r="AH145" s="10" t="n"/>
      <c r="AI145" s="25" t="n"/>
      <c r="AJ145" s="25" t="n"/>
      <c r="AK145" s="25" t="n"/>
      <c r="AL145" s="26" t="n"/>
      <c r="AM145" s="24" t="n"/>
    </row>
    <row r="146">
      <c r="A146" t="inlineStr">
        <is>
          <t>g70-10-20</t>
        </is>
      </c>
      <c r="B146" t="n">
        <v>70</v>
      </c>
      <c r="C146" t="n">
        <v>10</v>
      </c>
      <c r="D146" t="n">
        <v>20</v>
      </c>
      <c r="E146" s="10" t="n"/>
      <c r="F146" s="10" t="n"/>
      <c r="G146" s="10" t="n"/>
      <c r="H146" s="10" t="n"/>
      <c r="I146" s="10" t="n"/>
      <c r="J146" s="10" t="n"/>
      <c r="K146" s="10" t="n"/>
      <c r="L146" s="10" t="n"/>
      <c r="M146" s="10" t="n"/>
      <c r="N146" s="10" t="n"/>
      <c r="O146" s="10" t="n"/>
      <c r="P146" s="23" t="n"/>
      <c r="Q146" s="23" t="n"/>
      <c r="R146" s="24" t="n"/>
      <c r="S146" s="24" t="n"/>
      <c r="T146" s="24" t="n"/>
      <c r="U146" s="24" t="n"/>
      <c r="V146" s="24" t="n"/>
      <c r="W146" s="24" t="n"/>
      <c r="X146" s="24" t="n"/>
      <c r="Y146" s="24" t="n"/>
      <c r="Z146" s="24" t="n"/>
      <c r="AA146" s="24" t="n"/>
      <c r="AB146" s="24" t="n"/>
      <c r="AC146" s="24" t="n"/>
      <c r="AD146" s="24" t="n"/>
      <c r="AE146" s="24" t="n"/>
      <c r="AF146" s="10" t="n"/>
      <c r="AG146" s="10" t="n"/>
      <c r="AH146" s="10" t="n"/>
      <c r="AI146" s="25" t="n"/>
      <c r="AJ146" s="25" t="n"/>
      <c r="AK146" s="25" t="n"/>
      <c r="AL146" s="26" t="n"/>
      <c r="AM146" s="24" t="n"/>
    </row>
    <row r="147">
      <c r="A147" t="inlineStr">
        <is>
          <t>g70-20-10</t>
        </is>
      </c>
      <c r="B147" t="n">
        <v>70</v>
      </c>
      <c r="C147" t="n">
        <v>20</v>
      </c>
      <c r="D147" t="n">
        <v>10</v>
      </c>
      <c r="E147" s="10" t="n"/>
      <c r="F147" s="10" t="n"/>
      <c r="G147" s="10" t="n"/>
      <c r="H147" s="10" t="n"/>
      <c r="I147" s="10" t="n"/>
      <c r="J147" s="10" t="n"/>
      <c r="K147" s="10" t="n"/>
      <c r="L147" s="10" t="n"/>
      <c r="M147" s="10" t="n"/>
      <c r="N147" s="10" t="n"/>
      <c r="O147" s="10" t="n"/>
      <c r="P147" s="23" t="n"/>
      <c r="Q147" s="23" t="n"/>
      <c r="R147" s="24" t="n"/>
      <c r="S147" s="24" t="n"/>
      <c r="T147" s="24" t="n"/>
      <c r="U147" s="24" t="n"/>
      <c r="V147" s="24" t="n"/>
      <c r="W147" s="24" t="n"/>
      <c r="X147" s="24" t="n"/>
      <c r="Y147" s="24" t="n"/>
      <c r="Z147" s="24" t="n"/>
      <c r="AA147" s="24" t="n"/>
      <c r="AB147" s="24" t="n"/>
      <c r="AC147" s="24" t="n"/>
      <c r="AD147" s="24" t="n"/>
      <c r="AE147" s="24" t="n"/>
      <c r="AF147" s="10" t="n"/>
      <c r="AG147" s="10" t="n"/>
      <c r="AH147" s="10" t="n"/>
      <c r="AI147" s="25" t="n"/>
      <c r="AJ147" s="25" t="n"/>
      <c r="AK147" s="25" t="n"/>
      <c r="AL147" s="26" t="n"/>
      <c r="AM147" s="24" t="n"/>
    </row>
    <row r="148">
      <c r="A148" t="inlineStr">
        <is>
          <t>g70-30-0</t>
        </is>
      </c>
      <c r="B148" t="n">
        <v>70</v>
      </c>
      <c r="C148" t="n">
        <v>30</v>
      </c>
      <c r="D148" t="n">
        <v>0</v>
      </c>
      <c r="E148" s="10" t="n"/>
      <c r="F148" s="10" t="n"/>
      <c r="G148" s="10" t="n"/>
      <c r="H148" s="10" t="n"/>
      <c r="I148" s="10" t="n"/>
      <c r="J148" s="10" t="n"/>
      <c r="K148" s="10" t="n"/>
      <c r="L148" s="10" t="n"/>
      <c r="M148" s="10" t="n"/>
      <c r="N148" s="10" t="n"/>
      <c r="O148" s="10" t="n"/>
      <c r="P148" s="23" t="n"/>
      <c r="Q148" s="23" t="n"/>
      <c r="R148" s="24" t="n"/>
      <c r="S148" s="24" t="n"/>
      <c r="T148" s="24" t="n"/>
      <c r="U148" s="24" t="n"/>
      <c r="V148" s="24" t="n"/>
      <c r="W148" s="24" t="n"/>
      <c r="X148" s="24" t="n"/>
      <c r="Y148" s="24" t="n"/>
      <c r="Z148" s="24" t="n"/>
      <c r="AA148" s="24" t="n"/>
      <c r="AB148" s="24" t="n"/>
      <c r="AC148" s="24" t="n"/>
      <c r="AD148" s="24" t="n"/>
      <c r="AE148" s="24" t="n"/>
      <c r="AF148" s="10" t="n"/>
      <c r="AG148" s="10" t="n"/>
      <c r="AH148" s="10" t="n"/>
      <c r="AI148" s="25" t="n"/>
      <c r="AJ148" s="25" t="n"/>
      <c r="AK148" s="25" t="n"/>
      <c r="AL148" s="26" t="n"/>
      <c r="AM148" s="24" t="n"/>
    </row>
    <row r="149">
      <c r="A149" t="inlineStr">
        <is>
          <t>g80-0-20</t>
        </is>
      </c>
      <c r="B149" t="n">
        <v>80</v>
      </c>
      <c r="C149" t="n">
        <v>0</v>
      </c>
      <c r="D149" t="n">
        <v>20</v>
      </c>
      <c r="E149" s="10" t="n"/>
      <c r="F149" s="10" t="n"/>
      <c r="G149" s="10" t="n"/>
      <c r="H149" s="10" t="n"/>
      <c r="I149" s="10" t="n"/>
      <c r="J149" s="10" t="n"/>
      <c r="K149" s="10" t="n"/>
      <c r="L149" s="10" t="n"/>
      <c r="M149" s="10" t="n"/>
      <c r="N149" s="10" t="n"/>
      <c r="O149" s="10" t="n"/>
      <c r="P149" s="23" t="n"/>
      <c r="Q149" s="23" t="n"/>
      <c r="R149" s="24" t="n"/>
      <c r="S149" s="24" t="n"/>
      <c r="T149" s="24" t="n"/>
      <c r="U149" s="24" t="n"/>
      <c r="V149" s="24" t="n"/>
      <c r="W149" s="24" t="n"/>
      <c r="X149" s="24" t="n"/>
      <c r="Y149" s="24" t="n"/>
      <c r="Z149" s="24" t="n"/>
      <c r="AA149" s="24" t="n"/>
      <c r="AB149" s="24" t="n"/>
      <c r="AC149" s="24" t="n"/>
      <c r="AD149" s="24" t="n"/>
      <c r="AE149" s="24" t="n"/>
      <c r="AF149" s="10" t="n"/>
      <c r="AG149" s="10" t="n"/>
      <c r="AH149" s="10" t="n"/>
      <c r="AI149" s="25" t="n"/>
      <c r="AJ149" s="25" t="n"/>
      <c r="AK149" s="25" t="n"/>
      <c r="AL149" s="26" t="n"/>
      <c r="AM149" s="24" t="n"/>
    </row>
    <row r="150">
      <c r="A150" t="inlineStr">
        <is>
          <t>g80-10-10</t>
        </is>
      </c>
      <c r="B150" t="n">
        <v>80</v>
      </c>
      <c r="C150" t="n">
        <v>10</v>
      </c>
      <c r="D150" t="n">
        <v>10</v>
      </c>
      <c r="E150" s="10" t="n"/>
      <c r="F150" s="10" t="n"/>
      <c r="G150" s="10" t="n"/>
      <c r="H150" s="10" t="n"/>
      <c r="I150" s="10" t="n"/>
      <c r="J150" s="10" t="n"/>
      <c r="K150" s="10" t="n"/>
      <c r="L150" s="10" t="n"/>
      <c r="M150" s="10" t="n"/>
      <c r="N150" s="10" t="n"/>
      <c r="O150" s="10" t="n"/>
      <c r="P150" s="23" t="n"/>
      <c r="Q150" s="23" t="n"/>
      <c r="R150" s="24" t="n"/>
      <c r="S150" s="24" t="n"/>
      <c r="T150" s="24" t="n"/>
      <c r="U150" s="24" t="n"/>
      <c r="V150" s="24" t="n"/>
      <c r="W150" s="24" t="n"/>
      <c r="X150" s="24" t="n"/>
      <c r="Y150" s="24" t="n"/>
      <c r="Z150" s="24" t="n"/>
      <c r="AA150" s="24" t="n"/>
      <c r="AB150" s="24" t="n"/>
      <c r="AC150" s="24" t="n"/>
      <c r="AD150" s="24" t="n"/>
      <c r="AE150" s="24" t="n"/>
      <c r="AF150" s="10" t="n"/>
      <c r="AG150" s="10" t="n"/>
      <c r="AH150" s="10" t="n"/>
      <c r="AI150" s="25" t="n"/>
      <c r="AJ150" s="25" t="n"/>
      <c r="AK150" s="25" t="n"/>
      <c r="AL150" s="26" t="n"/>
      <c r="AM150" s="24" t="n"/>
    </row>
    <row r="151">
      <c r="A151" t="inlineStr">
        <is>
          <t>g80-20-0</t>
        </is>
      </c>
      <c r="B151" t="n">
        <v>80</v>
      </c>
      <c r="C151" t="n">
        <v>20</v>
      </c>
      <c r="D151" t="n">
        <v>0</v>
      </c>
      <c r="E151" s="10" t="n"/>
      <c r="F151" s="10" t="n"/>
      <c r="G151" s="10" t="n"/>
      <c r="H151" s="10" t="n"/>
      <c r="I151" s="10" t="n"/>
      <c r="J151" s="10" t="n"/>
      <c r="K151" s="10" t="n"/>
      <c r="L151" s="10" t="n"/>
      <c r="M151" s="10" t="n"/>
      <c r="N151" s="10" t="n"/>
      <c r="O151" s="10" t="n"/>
      <c r="P151" s="23" t="n"/>
      <c r="Q151" s="23" t="n"/>
      <c r="R151" s="24" t="n"/>
      <c r="S151" s="24" t="n"/>
      <c r="T151" s="24" t="n"/>
      <c r="U151" s="24" t="n"/>
      <c r="V151" s="24" t="n"/>
      <c r="W151" s="24" t="n"/>
      <c r="X151" s="24" t="n"/>
      <c r="Y151" s="24" t="n"/>
      <c r="Z151" s="24" t="n"/>
      <c r="AA151" s="24" t="n"/>
      <c r="AB151" s="24" t="n"/>
      <c r="AC151" s="24" t="n"/>
      <c r="AD151" s="24" t="n"/>
      <c r="AE151" s="24" t="n"/>
      <c r="AF151" s="10" t="n"/>
      <c r="AG151" s="10" t="n"/>
      <c r="AH151" s="10" t="n"/>
      <c r="AI151" s="25" t="n"/>
      <c r="AJ151" s="25" t="n"/>
      <c r="AK151" s="25" t="n"/>
      <c r="AL151" s="26" t="n"/>
      <c r="AM151" s="24" t="n"/>
    </row>
    <row r="152">
      <c r="A152" t="inlineStr">
        <is>
          <t>g90-0-10</t>
        </is>
      </c>
      <c r="B152" t="n">
        <v>90</v>
      </c>
      <c r="C152" t="n">
        <v>0</v>
      </c>
      <c r="D152" t="n">
        <v>10</v>
      </c>
      <c r="E152" s="10" t="n"/>
      <c r="F152" s="10" t="n"/>
      <c r="G152" s="10" t="n"/>
      <c r="H152" s="10" t="n"/>
      <c r="I152" s="10" t="n"/>
      <c r="J152" s="10" t="n"/>
      <c r="K152" s="10" t="n"/>
      <c r="L152" s="10" t="n"/>
      <c r="M152" s="10" t="n"/>
      <c r="N152" s="10" t="n"/>
      <c r="O152" s="10" t="n"/>
      <c r="P152" s="23" t="n"/>
      <c r="Q152" s="23" t="n"/>
      <c r="R152" s="24" t="n"/>
      <c r="S152" s="24" t="n"/>
      <c r="T152" s="24" t="n"/>
      <c r="U152" s="24" t="n"/>
      <c r="V152" s="24" t="n"/>
      <c r="W152" s="24" t="n"/>
      <c r="X152" s="24" t="n"/>
      <c r="Y152" s="24" t="n"/>
      <c r="Z152" s="24" t="n"/>
      <c r="AA152" s="24" t="n"/>
      <c r="AB152" s="24" t="n"/>
      <c r="AC152" s="24" t="n"/>
      <c r="AD152" s="24" t="n"/>
      <c r="AE152" s="24" t="n"/>
      <c r="AF152" s="10" t="n"/>
      <c r="AG152" s="10" t="n"/>
      <c r="AH152" s="10" t="n"/>
      <c r="AI152" s="25" t="n"/>
      <c r="AJ152" s="25" t="n"/>
      <c r="AK152" s="25" t="n"/>
      <c r="AL152" s="26" t="n"/>
      <c r="AM152" s="24" t="n"/>
    </row>
    <row r="153">
      <c r="A153" t="inlineStr">
        <is>
          <t>g90-10-0</t>
        </is>
      </c>
      <c r="B153" t="n">
        <v>90</v>
      </c>
      <c r="C153" t="n">
        <v>10</v>
      </c>
      <c r="D153" t="n">
        <v>0</v>
      </c>
      <c r="E153" s="10" t="n"/>
      <c r="F153" s="10" t="n"/>
      <c r="G153" s="10" t="n"/>
      <c r="H153" s="10" t="n"/>
      <c r="I153" s="10" t="n"/>
      <c r="J153" s="10" t="n"/>
      <c r="K153" s="10" t="n"/>
      <c r="L153" s="10" t="n"/>
      <c r="M153" s="10" t="n"/>
      <c r="N153" s="10" t="n"/>
      <c r="O153" s="10" t="n"/>
      <c r="P153" s="23" t="n"/>
      <c r="Q153" s="23" t="n"/>
      <c r="R153" s="24" t="n"/>
      <c r="S153" s="24" t="n"/>
      <c r="T153" s="24" t="n"/>
      <c r="U153" s="24" t="n"/>
      <c r="V153" s="24" t="n"/>
      <c r="W153" s="24" t="n"/>
      <c r="X153" s="24" t="n"/>
      <c r="Y153" s="24" t="n"/>
      <c r="Z153" s="24" t="n"/>
      <c r="AA153" s="24" t="n"/>
      <c r="AB153" s="24" t="n"/>
      <c r="AC153" s="24" t="n"/>
      <c r="AD153" s="24" t="n"/>
      <c r="AE153" s="24" t="n"/>
      <c r="AF153" s="10" t="n"/>
      <c r="AG153" s="10" t="n"/>
      <c r="AH153" s="10" t="n"/>
      <c r="AI153" s="25" t="n"/>
      <c r="AJ153" s="25" t="n"/>
      <c r="AK153" s="25" t="n"/>
      <c r="AL153" s="26" t="n"/>
      <c r="AM153" s="24" t="n"/>
    </row>
    <row r="154">
      <c r="A154" t="inlineStr">
        <is>
          <t>g100-0-0</t>
        </is>
      </c>
      <c r="B154" t="n">
        <v>100</v>
      </c>
      <c r="C154" t="n">
        <v>0</v>
      </c>
      <c r="D154" t="n">
        <v>0</v>
      </c>
      <c r="E154" s="10" t="n"/>
      <c r="F154" s="10" t="n"/>
      <c r="G154" s="10" t="n"/>
      <c r="H154" s="10" t="n"/>
      <c r="I154" s="10" t="n"/>
      <c r="J154" s="10" t="n"/>
      <c r="K154" s="10" t="n"/>
      <c r="L154" s="10" t="n"/>
      <c r="M154" s="10" t="n"/>
      <c r="N154" s="10" t="n"/>
      <c r="O154" s="10" t="n"/>
      <c r="P154" s="23" t="n"/>
      <c r="Q154" s="23" t="n"/>
      <c r="R154" s="24" t="n"/>
      <c r="S154" s="24" t="n"/>
      <c r="T154" s="24" t="n"/>
      <c r="U154" s="24" t="n"/>
      <c r="V154" s="24" t="n"/>
      <c r="W154" s="24" t="n"/>
      <c r="X154" s="24" t="n"/>
      <c r="Y154" s="24" t="n"/>
      <c r="Z154" s="24" t="n"/>
      <c r="AA154" s="24" t="n"/>
      <c r="AB154" s="24" t="n"/>
      <c r="AC154" s="24" t="n"/>
      <c r="AD154" s="24" t="n"/>
      <c r="AE154" s="24" t="n"/>
      <c r="AF154" s="10" t="n"/>
      <c r="AG154" s="10" t="n"/>
      <c r="AH154" s="10" t="n"/>
      <c r="AI154" s="25" t="n"/>
      <c r="AJ154" s="25" t="n"/>
      <c r="AK154" s="25" t="n"/>
      <c r="AL154" s="26" t="n"/>
      <c r="AM154" s="24"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26"/>
  <sheetViews>
    <sheetView rightToLeft="1" workbookViewId="0">
      <selection activeCell="A1" sqref="A1"/>
    </sheetView>
  </sheetViews>
  <sheetFormatPr baseColWidth="8" defaultRowHeight="15"/>
  <cols>
    <col width="52" customWidth="1" min="1" max="1"/>
    <col width="20" customWidth="1" min="2" max="2"/>
    <col width="20" customWidth="1" min="3" max="3"/>
    <col width="20" customWidth="1" min="4" max="4"/>
    <col width="20" customWidth="1" min="5" max="5"/>
    <col width="20" customWidth="1" min="6" max="6"/>
  </cols>
  <sheetData>
    <row r="1">
      <c r="A1" s="1" t="inlineStr">
        <is>
          <t>הגיליון מול המנוע של הקורס, לקלט ההתחלתי</t>
        </is>
      </c>
    </row>
    <row r="2">
      <c r="A2" s="2" t="inlineStr">
        <is>
          <t>עמודה C היא התוצאה של המנוע של הקורס (מחושבת בקוד, ונבדקת פעמיים). הערכים נכונים רק לקלט ההתחלתי: אם שיניתם בחירה, ההפרשים צפויים.</t>
        </is>
      </c>
    </row>
    <row r="4">
      <c r="A4" s="27" t="inlineStr">
        <is>
          <t>מה נבדק</t>
        </is>
      </c>
      <c r="B4" s="27" t="inlineStr">
        <is>
          <t>הגיליון</t>
        </is>
      </c>
      <c r="C4" s="27" t="inlineStr">
        <is>
          <t>המנוע</t>
        </is>
      </c>
      <c r="D4" s="27" t="inlineStr">
        <is>
          <t>הפרש</t>
        </is>
      </c>
      <c r="E4" s="27" t="inlineStr">
        <is>
          <t>סבילות</t>
        </is>
      </c>
      <c r="F4" s="27" t="inlineStr">
        <is>
          <t>תקין?</t>
        </is>
      </c>
    </row>
    <row r="5">
      <c r="A5" t="inlineStr">
        <is>
          <t>כמה מועמדים ברשת</t>
        </is>
      </c>
      <c r="B5" s="16" t="n"/>
      <c r="C5" s="16" t="n">
        <v>66</v>
      </c>
      <c r="D5" s="16" t="n"/>
      <c r="E5" t="n">
        <v>0</v>
      </c>
    </row>
    <row r="6">
      <c r="A6" t="inlineStr">
        <is>
          <t>כמה אפשריים</t>
        </is>
      </c>
      <c r="B6" s="16" t="n"/>
      <c r="C6" s="16" t="n">
        <v>14</v>
      </c>
      <c r="D6" s="16" t="n"/>
      <c r="E6" t="n">
        <v>0</v>
      </c>
    </row>
    <row r="7">
      <c r="A7" t="inlineStr">
        <is>
          <t>כמה יעילים</t>
        </is>
      </c>
      <c r="B7" s="16" t="n"/>
      <c r="C7" s="16" t="n">
        <v>6</v>
      </c>
      <c r="D7" s="16" t="n"/>
      <c r="E7" t="n">
        <v>0</v>
      </c>
    </row>
    <row r="8">
      <c r="A8" t="inlineStr">
        <is>
          <t>המועמד שנבחר</t>
        </is>
      </c>
      <c r="B8" s="16" t="n"/>
      <c r="C8" s="16" t="inlineStr">
        <is>
          <t>g40-0-60</t>
        </is>
      </c>
      <c r="D8" s="16" t="n"/>
    </row>
    <row r="9">
      <c r="A9" t="inlineStr">
        <is>
          <t>ההחזר הראשון של הנבחר</t>
        </is>
      </c>
      <c r="B9" s="17" t="n"/>
      <c r="C9" s="17" t="n">
        <v>7941.62</v>
      </c>
      <c r="D9" s="17" t="n"/>
      <c r="E9" t="n">
        <v>0.05</v>
      </c>
    </row>
    <row r="10">
      <c r="A10" t="inlineStr">
        <is>
          <t>סך התשלומים של הנבחר</t>
        </is>
      </c>
      <c r="B10" s="17" t="n"/>
      <c r="C10" s="17" t="n">
        <v>2858982.61</v>
      </c>
      <c r="D10" s="17" t="n"/>
      <c r="E10" t="n">
        <v>6</v>
      </c>
    </row>
    <row r="11">
      <c r="A11" t="inlineStr">
        <is>
          <t>החשיפה של הנבחר</t>
        </is>
      </c>
      <c r="B11" s="17" t="n"/>
      <c r="C11" s="17" t="n">
        <v>1031.61</v>
      </c>
      <c r="D11" s="17" t="n"/>
      <c r="E11" t="n">
        <v>10</v>
      </c>
    </row>
    <row r="12">
      <c r="A12" t="inlineStr">
        <is>
          <t>נפסלו: סכום המסלולים שווה להלוואה</t>
        </is>
      </c>
      <c r="B12" s="16" t="n"/>
      <c r="C12" s="16" t="n">
        <v>0</v>
      </c>
      <c r="D12" s="16" t="n"/>
      <c r="E12" t="n">
        <v>0</v>
      </c>
    </row>
    <row r="13">
      <c r="A13" t="inlineStr">
        <is>
          <t>נפסלו: ההון העצמי קיים</t>
        </is>
      </c>
      <c r="B13" s="16" t="n"/>
      <c r="C13" s="16" t="n">
        <v>0</v>
      </c>
      <c r="D13" s="16" t="n"/>
      <c r="E13" t="n">
        <v>0</v>
      </c>
    </row>
    <row r="14">
      <c r="A14" t="inlineStr">
        <is>
          <t>נפסלו: שיעור מימון עד התקרה</t>
        </is>
      </c>
      <c r="B14" s="16" t="n"/>
      <c r="C14" s="16" t="n">
        <v>0</v>
      </c>
      <c r="D14" s="16" t="n"/>
      <c r="E14" t="n">
        <v>0</v>
      </c>
    </row>
    <row r="15">
      <c r="A15" t="inlineStr">
        <is>
          <t>נפסלו: יחס החזר עד 50%</t>
        </is>
      </c>
      <c r="B15" s="16" t="n"/>
      <c r="C15" s="16" t="n">
        <v>0</v>
      </c>
      <c r="D15" s="16" t="n"/>
      <c r="E15" t="n">
        <v>0</v>
      </c>
    </row>
    <row r="16">
      <c r="A16" t="inlineStr">
        <is>
          <t>נפסלו: לפחות שליש בריבית קבועה</t>
        </is>
      </c>
      <c r="B16" s="16" t="n"/>
      <c r="C16" s="16" t="n">
        <v>38</v>
      </c>
      <c r="D16" s="16" t="n"/>
      <c r="E16" t="n">
        <v>0</v>
      </c>
    </row>
    <row r="17">
      <c r="A17" t="inlineStr">
        <is>
          <t>נפסלו: עד 30 שנה</t>
        </is>
      </c>
      <c r="B17" s="16" t="n"/>
      <c r="C17" s="16" t="n">
        <v>0</v>
      </c>
      <c r="D17" s="16" t="n"/>
      <c r="E17" t="n">
        <v>0</v>
      </c>
    </row>
    <row r="18">
      <c r="A18" t="inlineStr">
        <is>
          <t>נפסלו: יחס ההחזר עד הקו של הבנק</t>
        </is>
      </c>
      <c r="B18" s="16" t="n"/>
      <c r="C18" s="16" t="n">
        <v>0</v>
      </c>
      <c r="D18" s="16" t="n"/>
      <c r="E18" t="n">
        <v>0</v>
      </c>
    </row>
    <row r="19">
      <c r="A19" t="inlineStr">
        <is>
          <t>נפסלו: שיעור המימון עד הקו של הבנק</t>
        </is>
      </c>
      <c r="B19" s="16" t="n"/>
      <c r="C19" s="16" t="n">
        <v>0</v>
      </c>
      <c r="D19" s="16" t="n"/>
      <c r="E19" t="n">
        <v>0</v>
      </c>
    </row>
    <row r="20">
      <c r="A20" t="inlineStr">
        <is>
          <t>נפסלו: ההחזר עד המרבי שהלקוח קבע</t>
        </is>
      </c>
      <c r="B20" s="16" t="n"/>
      <c r="C20" s="16" t="n">
        <v>1</v>
      </c>
      <c r="D20" s="16" t="n"/>
      <c r="E20" t="n">
        <v>0</v>
      </c>
    </row>
    <row r="21">
      <c r="A21" t="inlineStr">
        <is>
          <t>נפסלו: יחס ההחזר עד יעד הלקוח</t>
        </is>
      </c>
      <c r="B21" s="16" t="n"/>
      <c r="C21" s="16" t="n">
        <v>31</v>
      </c>
      <c r="D21" s="16" t="n"/>
      <c r="E21" t="n">
        <v>0</v>
      </c>
    </row>
    <row r="22">
      <c r="A22" t="inlineStr">
        <is>
          <t>הפער בהחזר הראשון: הצעה מול אומדן</t>
        </is>
      </c>
      <c r="B22" s="17" t="n"/>
      <c r="C22" s="17" t="n">
        <v>-0.5</v>
      </c>
      <c r="D22" s="17" t="n"/>
      <c r="E22" t="n">
        <v>0.05</v>
      </c>
    </row>
    <row r="23">
      <c r="A23" t="inlineStr">
        <is>
          <t>הפער בסך התשלומים: הצעה מול אומדן</t>
        </is>
      </c>
      <c r="B23" s="17" t="n"/>
      <c r="C23" s="17" t="n">
        <v>-177.72</v>
      </c>
      <c r="D23" s="17" t="n"/>
      <c r="E23" t="n">
        <v>6</v>
      </c>
    </row>
    <row r="25">
      <c r="A25" s="2" t="inlineStr">
        <is>
          <t>הגיליון מקרב את המנוע: הוא מחשב החזר מדויק (בלי עיגול כל ריבית חודשית), והמנוע מעגל כל חודש לאגורה. בסך התשלומים הפער עד כמה שקלים. בחשיפה הפער עד כעשרה שקלים, כי במנוע התשלום האחרון סוגר את היתרה, והוא גבוה בכמה שקלים מהתשלום הקבוע. הבחירה של התמהיל לא מושפעת.</t>
        </is>
      </c>
    </row>
    <row r="26">
      <c r="A26" s="3" t="inlineStr">
        <is>
          <t>מלאו את הרשת, ואז כאן יופיע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rightToLeft="1" workbookViewId="0">
      <selection activeCell="A1" sqref="A1"/>
    </sheetView>
  </sheetViews>
  <sheetFormatPr baseColWidth="8" defaultRowHeight="15"/>
  <cols>
    <col width="120" customWidth="1" min="1" max="1"/>
  </cols>
  <sheetData>
    <row r="1">
      <c r="A1" s="28" t="inlineStr">
        <is>
          <t>איך בונים את המנוע</t>
        </is>
      </c>
    </row>
    <row r="2">
      <c r="A2" s="29" t="inlineStr">
        <is>
          <t>דוגמה לימודית — נתוני הלקוח והריביות להמחשה בלבד; אינם הצעת בנק או נתוני שוק עדכניים. נתונים סינתטיים. עתיד: זה לא קוד של Mogi.</t>
        </is>
      </c>
    </row>
    <row r="3">
      <c r="A3" s="29" t="inlineStr">
        <is>
          <t>הגיליון ״מנוע״ מחזיק את התיק, את הבחירות שלכם (תאים ירוקים), את ארבעת הבנקים, את הכללים, ובסוף את הרשת: שורה לכל מועמד, בלי שום מספר שהוקלד ביד בנוסחאות.</t>
        </is>
      </c>
    </row>
    <row r="4">
      <c r="A4" s="28" t="inlineStr">
        <is>
          <t>הצעדים</t>
        </is>
      </c>
    </row>
    <row r="5">
      <c r="A5" s="29" t="inlineStr">
        <is>
          <t>1 — מיצוב: בתאים B18 עד B21 בחרו הון עצמי נוסף, סגירת הלוואת הרכב, הורה וכנס. ההלוואה, שיעור המימון והכנסה הפנויה מתעדכנים (שורות 45 עד 56).</t>
        </is>
      </c>
    </row>
    <row r="6">
      <c r="A6" s="29" t="inlineStr">
        <is>
          <t>2 — תזרים: בכל שורה של הרשת, ההחזר הראשון של כל מסלול (עמודות H עד J) הוא ROUND(-PMT(ריבית/1200, חודשים, סכום), 2). סך התשלומים הוא ההחזר הלא־מעוגל כפול החודשים, וההחזר הגבוה בלחץ מחושב מחדש אחרי שהריבית עולה.</t>
        </is>
      </c>
    </row>
    <row r="7">
      <c r="A7" s="29" t="inlineStr">
        <is>
          <t>3 — חיפוש: הרשת היא כל התמהילים בצעדים של 10 אחוזים (66). אין להוסיף שורות: מרחב החיפוש הוא מה שנבדק.</t>
        </is>
      </c>
    </row>
    <row r="8">
      <c r="A8" s="29" t="inlineStr">
        <is>
          <t>4 — אילוצים: עשר עמודות (R עד AA) של 1 (נשבר) או 0 (נשמר). מועמד אפשרי כשאין בו אף 1. הסיבות מסוכמות בשורות 72 עד 81.</t>
        </is>
      </c>
    </row>
    <row r="9">
      <c r="A9" s="29" t="inlineStr">
        <is>
          <t>5 — חזית יעילה: עמודה AD סופרת כמה מועמדים אפשריים לא גרועים בשום מדד ומשופרים באחד. מועמד אפשרי שאף אחד לא שולט עליו הוא יעיל.</t>
        </is>
      </c>
    </row>
    <row r="10">
      <c r="A10" s="29" t="inlineStr">
        <is>
          <t>6 — בחירה: מנרמלים כל מדד בין אפשריים (0 הטוב, 1 הגרוע), ממוצע משוקלל לפי המשקולות בתאים B22 עד B24 (להדגמה). הציון הנמוך מנצח.</t>
        </is>
      </c>
    </row>
    <row r="11">
      <c r="A11" s="29" t="inlineStr">
        <is>
          <t>7 — הסבר: בשורות 84 עד 86, הניסוח נבנה ממספרי הגיליון. מודל שפה לעולם לא מחשב.</t>
        </is>
      </c>
    </row>
    <row r="12">
      <c r="A12" s="29" t="inlineStr">
        <is>
          <t>8 — בדיקה מול הצעת בנק: בתאים E4 עד F18 יש הצעה לדוגמה של בנק בדוי. האומדן הוא המחירון של הבנק; ההצעה היא מה שהוא כתב. הפער נמדד בהחזר הראשון ובסך התשלומים.</t>
        </is>
      </c>
    </row>
    <row r="13">
      <c r="A13" s="28" t="inlineStr">
        <is>
          <t>הלשונית ״בדיקה״</t>
        </is>
      </c>
    </row>
    <row r="14">
      <c r="A14" s="29" t="inlineStr">
        <is>
          <t>היא משווה את הגיליון למנוע של הקורס לקלט ההתחלתי. הסבילות היא כמה שקלים, כי הגיליון לא מעגל כל ריבית חודשית.</t>
        </is>
      </c>
    </row>
    <row r="15">
      <c r="A15" s="28" t="inlineStr">
        <is>
          <t>Excel ו־Google Sheets</t>
        </is>
      </c>
    </row>
    <row r="16">
      <c r="A16" s="29" t="inlineStr">
        <is>
          <t>בחלק מההגדרות האזוריות מפרידים בין ארגומנטים בנקודה־פסיק (;). הגיליון משתמש בפונקציות PMT, SUMPRODUCT, COUNTIFS ו־INDEX: הכול קיים גם ב־Google Sheets.</t>
        </is>
      </c>
    </row>
    <row r="17">
      <c r="A17" s="29" t="inlineStr">
        <is>
          <t>שינוי בחירה ישנה את התוצאות, וגם את הבדיקה: היא נכונה לקלט ההתחלתי בלבד.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Mogi course (scripts/build-engine-workshop.py)</dc:creator>
  <dc:title xmlns:dc="http://purl.org/dc/elements/1.1/">מנוע קטן לבחירת תמהיל — סדנה 8.28</dc:title>
  <dcterms:created xmlns:dcterms="http://purl.org/dc/terms/" xmlns:xsi="http://www.w3.org/2001/XMLSchema-instance" xsi:type="dcterms:W3CDTF">2026-10-17T00:00:00Z</dcterms:created>
  <dcterms:modified xmlns:dcterms="http://purl.org/dc/terms/" xmlns:xsi="http://www.w3.org/2001/XMLSchema-instance" xsi:type="dcterms:W3CDTF">2026-10-17T00:00:00Z</dcterms:modified>
</cp:coreProperties>
</file>